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University\Semester1\Credit Risk\"/>
    </mc:Choice>
  </mc:AlternateContent>
  <xr:revisionPtr revIDLastSave="0" documentId="13_ncr:1_{8DE237D1-A546-4161-856F-E7B926A556F5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over" sheetId="1" r:id="rId1"/>
    <sheet name=" Data" sheetId="2" r:id="rId2"/>
    <sheet name="Analysis" sheetId="3" r:id="rId3"/>
    <sheet name="Sheet1" sheetId="4" r:id="rId4"/>
  </sheets>
  <functionGroups builtInGroupCount="19"/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S_P_500_Historical_Data" localSheetId="3">Sheet1!$Q$2:$R$254</definedName>
    <definedName name="solver_adj" localSheetId="2" hidden="1">Analysis!$F$33:$F$34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Analysis!$F$41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56" i="2" l="1"/>
  <c r="R256" i="2"/>
  <c r="U256" i="2"/>
  <c r="X256" i="2"/>
  <c r="J257" i="2"/>
  <c r="R257" i="2"/>
  <c r="U257" i="2"/>
  <c r="X257" i="2"/>
  <c r="J258" i="2"/>
  <c r="R258" i="2"/>
  <c r="U258" i="2"/>
  <c r="X258" i="2"/>
  <c r="J259" i="2"/>
  <c r="R259" i="2"/>
  <c r="U259" i="2"/>
  <c r="X259" i="2"/>
  <c r="J260" i="2"/>
  <c r="R260" i="2"/>
  <c r="U261" i="2" s="1"/>
  <c r="U260" i="2"/>
  <c r="X260" i="2"/>
  <c r="J261" i="2"/>
  <c r="R261" i="2"/>
  <c r="X261" i="2"/>
  <c r="J262" i="2"/>
  <c r="R262" i="2"/>
  <c r="U262" i="2"/>
  <c r="X262" i="2"/>
  <c r="J263" i="2"/>
  <c r="R263" i="2"/>
  <c r="U263" i="2"/>
  <c r="X263" i="2"/>
  <c r="J264" i="2"/>
  <c r="R264" i="2"/>
  <c r="U264" i="2"/>
  <c r="X264" i="2"/>
  <c r="J265" i="2"/>
  <c r="R265" i="2"/>
  <c r="U265" i="2"/>
  <c r="X265" i="2"/>
  <c r="J266" i="2"/>
  <c r="R266" i="2"/>
  <c r="U266" i="2"/>
  <c r="X266" i="2"/>
  <c r="D3" i="4"/>
  <c r="N3" i="4"/>
  <c r="D4" i="4"/>
  <c r="N4" i="4"/>
  <c r="D5" i="4"/>
  <c r="N5" i="4"/>
  <c r="D6" i="4"/>
  <c r="N6" i="4"/>
  <c r="D7" i="4"/>
  <c r="N7" i="4"/>
  <c r="D8" i="4"/>
  <c r="N8" i="4"/>
  <c r="D9" i="4"/>
  <c r="N9" i="4"/>
  <c r="D10" i="4"/>
  <c r="N10" i="4"/>
  <c r="D11" i="4"/>
  <c r="N11" i="4"/>
  <c r="D12" i="4"/>
  <c r="N12" i="4"/>
  <c r="D13" i="4"/>
  <c r="N13" i="4"/>
  <c r="D14" i="4"/>
  <c r="N14" i="4"/>
  <c r="D15" i="4"/>
  <c r="N15" i="4"/>
  <c r="D16" i="4"/>
  <c r="N16" i="4"/>
  <c r="D17" i="4"/>
  <c r="N17" i="4"/>
  <c r="D18" i="4"/>
  <c r="N18" i="4"/>
  <c r="D19" i="4"/>
  <c r="N19" i="4"/>
  <c r="D20" i="4"/>
  <c r="N20" i="4"/>
  <c r="D21" i="4"/>
  <c r="N21" i="4"/>
  <c r="D22" i="4"/>
  <c r="N22" i="4"/>
  <c r="D23" i="4"/>
  <c r="N23" i="4"/>
  <c r="D24" i="4"/>
  <c r="N24" i="4"/>
  <c r="D25" i="4"/>
  <c r="N25" i="4"/>
  <c r="D26" i="4"/>
  <c r="N26" i="4"/>
  <c r="D27" i="4"/>
  <c r="N27" i="4"/>
  <c r="D28" i="4"/>
  <c r="N28" i="4"/>
  <c r="D29" i="4"/>
  <c r="N29" i="4"/>
  <c r="D30" i="4"/>
  <c r="N30" i="4"/>
  <c r="D31" i="4"/>
  <c r="N31" i="4"/>
  <c r="D32" i="4"/>
  <c r="N32" i="4"/>
  <c r="D33" i="4"/>
  <c r="N33" i="4"/>
  <c r="D34" i="4"/>
  <c r="N34" i="4"/>
  <c r="D35" i="4"/>
  <c r="N35" i="4"/>
  <c r="D36" i="4"/>
  <c r="N36" i="4"/>
  <c r="D37" i="4"/>
  <c r="N37" i="4"/>
  <c r="D38" i="4"/>
  <c r="N38" i="4"/>
  <c r="D39" i="4"/>
  <c r="N39" i="4"/>
  <c r="D40" i="4"/>
  <c r="N40" i="4"/>
  <c r="D41" i="4"/>
  <c r="N41" i="4"/>
  <c r="D42" i="4"/>
  <c r="N42" i="4"/>
  <c r="D43" i="4"/>
  <c r="N43" i="4"/>
  <c r="D44" i="4"/>
  <c r="N44" i="4"/>
  <c r="D45" i="4"/>
  <c r="N45" i="4"/>
  <c r="D46" i="4"/>
  <c r="N46" i="4"/>
  <c r="D47" i="4"/>
  <c r="N47" i="4"/>
  <c r="D48" i="4"/>
  <c r="N48" i="4"/>
  <c r="D49" i="4"/>
  <c r="N49" i="4"/>
  <c r="D50" i="4"/>
  <c r="N50" i="4"/>
  <c r="D51" i="4"/>
  <c r="N51" i="4"/>
  <c r="D52" i="4"/>
  <c r="N52" i="4"/>
  <c r="D53" i="4"/>
  <c r="N53" i="4"/>
  <c r="D54" i="4"/>
  <c r="N54" i="4"/>
  <c r="D55" i="4"/>
  <c r="N55" i="4"/>
  <c r="D56" i="4"/>
  <c r="N56" i="4"/>
  <c r="D57" i="4"/>
  <c r="N57" i="4"/>
  <c r="D58" i="4"/>
  <c r="N58" i="4"/>
  <c r="D59" i="4"/>
  <c r="N59" i="4"/>
  <c r="D60" i="4"/>
  <c r="N60" i="4"/>
  <c r="D61" i="4"/>
  <c r="N61" i="4"/>
  <c r="D62" i="4"/>
  <c r="N62" i="4"/>
  <c r="D63" i="4"/>
  <c r="N63" i="4"/>
  <c r="D64" i="4"/>
  <c r="N64" i="4"/>
  <c r="D65" i="4"/>
  <c r="N65" i="4"/>
  <c r="D66" i="4"/>
  <c r="N66" i="4"/>
  <c r="D67" i="4"/>
  <c r="N67" i="4"/>
  <c r="D68" i="4"/>
  <c r="N68" i="4"/>
  <c r="D69" i="4"/>
  <c r="N69" i="4"/>
  <c r="D70" i="4"/>
  <c r="N70" i="4"/>
  <c r="D71" i="4"/>
  <c r="N71" i="4"/>
  <c r="D72" i="4"/>
  <c r="N72" i="4"/>
  <c r="D73" i="4"/>
  <c r="N73" i="4"/>
  <c r="D74" i="4"/>
  <c r="N74" i="4"/>
  <c r="D75" i="4"/>
  <c r="N75" i="4"/>
  <c r="D76" i="4"/>
  <c r="N76" i="4"/>
  <c r="D77" i="4"/>
  <c r="N77" i="4"/>
  <c r="D78" i="4"/>
  <c r="N78" i="4"/>
  <c r="D79" i="4"/>
  <c r="N79" i="4"/>
  <c r="D80" i="4"/>
  <c r="N80" i="4"/>
  <c r="D81" i="4"/>
  <c r="N81" i="4"/>
  <c r="D82" i="4"/>
  <c r="N82" i="4"/>
  <c r="D83" i="4"/>
  <c r="N83" i="4"/>
  <c r="D84" i="4"/>
  <c r="N84" i="4"/>
  <c r="D85" i="4"/>
  <c r="N85" i="4"/>
  <c r="D86" i="4"/>
  <c r="N86" i="4"/>
  <c r="D87" i="4"/>
  <c r="N87" i="4"/>
  <c r="D88" i="4"/>
  <c r="N88" i="4"/>
  <c r="D89" i="4"/>
  <c r="N89" i="4"/>
  <c r="D90" i="4"/>
  <c r="N90" i="4"/>
  <c r="D91" i="4"/>
  <c r="N91" i="4"/>
  <c r="D92" i="4"/>
  <c r="N92" i="4"/>
  <c r="D93" i="4"/>
  <c r="N93" i="4"/>
  <c r="D94" i="4"/>
  <c r="N94" i="4"/>
  <c r="D95" i="4"/>
  <c r="N95" i="4"/>
  <c r="D96" i="4"/>
  <c r="N96" i="4"/>
  <c r="D97" i="4"/>
  <c r="N97" i="4"/>
  <c r="D98" i="4"/>
  <c r="N98" i="4"/>
  <c r="D99" i="4"/>
  <c r="N99" i="4"/>
  <c r="D100" i="4"/>
  <c r="N100" i="4"/>
  <c r="D101" i="4"/>
  <c r="N101" i="4"/>
  <c r="D102" i="4"/>
  <c r="N102" i="4"/>
  <c r="D103" i="4"/>
  <c r="N103" i="4"/>
  <c r="D104" i="4"/>
  <c r="N104" i="4"/>
  <c r="D105" i="4"/>
  <c r="N105" i="4"/>
  <c r="D106" i="4"/>
  <c r="N106" i="4"/>
  <c r="D107" i="4"/>
  <c r="N107" i="4"/>
  <c r="D108" i="4"/>
  <c r="N108" i="4"/>
  <c r="D109" i="4"/>
  <c r="N109" i="4"/>
  <c r="D110" i="4"/>
  <c r="N110" i="4"/>
  <c r="D111" i="4"/>
  <c r="N111" i="4"/>
  <c r="D112" i="4"/>
  <c r="N112" i="4"/>
  <c r="D113" i="4"/>
  <c r="N113" i="4"/>
  <c r="D114" i="4"/>
  <c r="N114" i="4"/>
  <c r="D115" i="4"/>
  <c r="N115" i="4"/>
  <c r="D116" i="4"/>
  <c r="N116" i="4"/>
  <c r="D117" i="4"/>
  <c r="N117" i="4"/>
  <c r="D118" i="4"/>
  <c r="N118" i="4"/>
  <c r="D119" i="4"/>
  <c r="N119" i="4"/>
  <c r="D120" i="4"/>
  <c r="N120" i="4"/>
  <c r="D121" i="4"/>
  <c r="N121" i="4"/>
  <c r="D122" i="4"/>
  <c r="N122" i="4"/>
  <c r="D123" i="4"/>
  <c r="N123" i="4"/>
  <c r="D124" i="4"/>
  <c r="N124" i="4"/>
  <c r="D125" i="4"/>
  <c r="N125" i="4"/>
  <c r="D126" i="4"/>
  <c r="N126" i="4"/>
  <c r="D127" i="4"/>
  <c r="N127" i="4"/>
  <c r="D128" i="4"/>
  <c r="N128" i="4"/>
  <c r="D129" i="4"/>
  <c r="N129" i="4"/>
  <c r="D130" i="4"/>
  <c r="N130" i="4"/>
  <c r="D131" i="4"/>
  <c r="N131" i="4"/>
  <c r="D132" i="4"/>
  <c r="N132" i="4"/>
  <c r="D133" i="4"/>
  <c r="N133" i="4"/>
  <c r="D134" i="4"/>
  <c r="N134" i="4"/>
  <c r="D135" i="4"/>
  <c r="N135" i="4"/>
  <c r="D136" i="4"/>
  <c r="N136" i="4"/>
  <c r="D137" i="4"/>
  <c r="N137" i="4"/>
  <c r="D138" i="4"/>
  <c r="N138" i="4"/>
  <c r="D139" i="4"/>
  <c r="N139" i="4"/>
  <c r="D140" i="4"/>
  <c r="N140" i="4"/>
  <c r="D141" i="4"/>
  <c r="N141" i="4"/>
  <c r="D142" i="4"/>
  <c r="N142" i="4"/>
  <c r="D143" i="4"/>
  <c r="N143" i="4"/>
  <c r="D144" i="4"/>
  <c r="N144" i="4"/>
  <c r="D145" i="4"/>
  <c r="N145" i="4"/>
  <c r="D146" i="4"/>
  <c r="N146" i="4"/>
  <c r="D147" i="4"/>
  <c r="N147" i="4"/>
  <c r="D148" i="4"/>
  <c r="N148" i="4"/>
  <c r="D149" i="4"/>
  <c r="N149" i="4"/>
  <c r="D150" i="4"/>
  <c r="N150" i="4"/>
  <c r="D151" i="4"/>
  <c r="N151" i="4"/>
  <c r="D152" i="4"/>
  <c r="N152" i="4"/>
  <c r="D153" i="4"/>
  <c r="N153" i="4"/>
  <c r="D154" i="4"/>
  <c r="N154" i="4"/>
  <c r="D155" i="4"/>
  <c r="N155" i="4"/>
  <c r="D156" i="4"/>
  <c r="N156" i="4"/>
  <c r="D157" i="4"/>
  <c r="N157" i="4"/>
  <c r="D158" i="4"/>
  <c r="N158" i="4"/>
  <c r="D159" i="4"/>
  <c r="N159" i="4"/>
  <c r="D160" i="4"/>
  <c r="N160" i="4"/>
  <c r="D161" i="4"/>
  <c r="N161" i="4"/>
  <c r="D162" i="4"/>
  <c r="N162" i="4"/>
  <c r="D163" i="4"/>
  <c r="N163" i="4"/>
  <c r="D164" i="4"/>
  <c r="N164" i="4"/>
  <c r="D165" i="4"/>
  <c r="N165" i="4"/>
  <c r="D166" i="4"/>
  <c r="N166" i="4"/>
  <c r="D167" i="4"/>
  <c r="N167" i="4"/>
  <c r="D168" i="4"/>
  <c r="N168" i="4"/>
  <c r="D169" i="4"/>
  <c r="N169" i="4"/>
  <c r="D170" i="4"/>
  <c r="N170" i="4"/>
  <c r="D171" i="4"/>
  <c r="N171" i="4"/>
  <c r="D172" i="4"/>
  <c r="N172" i="4"/>
  <c r="D173" i="4"/>
  <c r="N173" i="4"/>
  <c r="D174" i="4"/>
  <c r="N174" i="4"/>
  <c r="D175" i="4"/>
  <c r="N175" i="4"/>
  <c r="D176" i="4"/>
  <c r="N176" i="4"/>
  <c r="D177" i="4"/>
  <c r="N177" i="4"/>
  <c r="D178" i="4"/>
  <c r="N178" i="4"/>
  <c r="D179" i="4"/>
  <c r="N179" i="4"/>
  <c r="D180" i="4"/>
  <c r="N180" i="4"/>
  <c r="D181" i="4"/>
  <c r="N181" i="4"/>
  <c r="D182" i="4"/>
  <c r="N182" i="4"/>
  <c r="D183" i="4"/>
  <c r="N183" i="4"/>
  <c r="D184" i="4"/>
  <c r="N184" i="4"/>
  <c r="D185" i="4"/>
  <c r="N185" i="4"/>
  <c r="D186" i="4"/>
  <c r="N186" i="4"/>
  <c r="D187" i="4"/>
  <c r="N187" i="4"/>
  <c r="D188" i="4"/>
  <c r="N188" i="4"/>
  <c r="D189" i="4"/>
  <c r="N189" i="4"/>
  <c r="D190" i="4"/>
  <c r="N190" i="4"/>
  <c r="D191" i="4"/>
  <c r="N191" i="4"/>
  <c r="D192" i="4"/>
  <c r="N192" i="4"/>
  <c r="D193" i="4"/>
  <c r="N193" i="4"/>
  <c r="D194" i="4"/>
  <c r="N194" i="4"/>
  <c r="D195" i="4"/>
  <c r="N195" i="4"/>
  <c r="D196" i="4"/>
  <c r="N196" i="4"/>
  <c r="D197" i="4"/>
  <c r="N197" i="4"/>
  <c r="D198" i="4"/>
  <c r="N198" i="4"/>
  <c r="D199" i="4"/>
  <c r="N199" i="4"/>
  <c r="D200" i="4"/>
  <c r="N200" i="4"/>
  <c r="D201" i="4"/>
  <c r="N201" i="4"/>
  <c r="D202" i="4"/>
  <c r="N202" i="4"/>
  <c r="D203" i="4"/>
  <c r="N203" i="4"/>
  <c r="D204" i="4"/>
  <c r="N204" i="4"/>
  <c r="D205" i="4"/>
  <c r="N205" i="4"/>
  <c r="D206" i="4"/>
  <c r="N206" i="4"/>
  <c r="D207" i="4"/>
  <c r="N207" i="4"/>
  <c r="D208" i="4"/>
  <c r="N208" i="4"/>
  <c r="D209" i="4"/>
  <c r="N209" i="4"/>
  <c r="D210" i="4"/>
  <c r="N210" i="4"/>
  <c r="D211" i="4"/>
  <c r="N211" i="4"/>
  <c r="D212" i="4"/>
  <c r="N212" i="4"/>
  <c r="D213" i="4"/>
  <c r="N213" i="4"/>
  <c r="D214" i="4"/>
  <c r="N214" i="4"/>
  <c r="D215" i="4"/>
  <c r="N215" i="4"/>
  <c r="D216" i="4"/>
  <c r="N216" i="4"/>
  <c r="D217" i="4"/>
  <c r="N217" i="4"/>
  <c r="D218" i="4"/>
  <c r="N218" i="4"/>
  <c r="D219" i="4"/>
  <c r="N219" i="4"/>
  <c r="D220" i="4"/>
  <c r="N220" i="4"/>
  <c r="D221" i="4"/>
  <c r="N221" i="4"/>
  <c r="D222" i="4"/>
  <c r="N222" i="4"/>
  <c r="D223" i="4"/>
  <c r="N223" i="4"/>
  <c r="D224" i="4"/>
  <c r="N224" i="4"/>
  <c r="D225" i="4"/>
  <c r="N225" i="4"/>
  <c r="D226" i="4"/>
  <c r="N226" i="4"/>
  <c r="D227" i="4"/>
  <c r="N227" i="4"/>
  <c r="D228" i="4"/>
  <c r="N228" i="4"/>
  <c r="D229" i="4"/>
  <c r="N229" i="4"/>
  <c r="D230" i="4"/>
  <c r="N230" i="4"/>
  <c r="D231" i="4"/>
  <c r="N231" i="4"/>
  <c r="D232" i="4"/>
  <c r="N232" i="4"/>
  <c r="D233" i="4"/>
  <c r="N233" i="4"/>
  <c r="D234" i="4"/>
  <c r="N234" i="4"/>
  <c r="D235" i="4"/>
  <c r="N235" i="4"/>
  <c r="D236" i="4"/>
  <c r="N236" i="4"/>
  <c r="D237" i="4"/>
  <c r="N237" i="4"/>
  <c r="D238" i="4"/>
  <c r="N238" i="4"/>
  <c r="D239" i="4"/>
  <c r="N239" i="4"/>
  <c r="D240" i="4"/>
  <c r="N240" i="4"/>
  <c r="D241" i="4"/>
  <c r="N241" i="4"/>
  <c r="D242" i="4"/>
  <c r="N242" i="4"/>
  <c r="D243" i="4"/>
  <c r="N243" i="4"/>
  <c r="D244" i="4"/>
  <c r="N244" i="4"/>
  <c r="D245" i="4"/>
  <c r="N245" i="4"/>
  <c r="D246" i="4"/>
  <c r="N246" i="4"/>
  <c r="D247" i="4"/>
  <c r="N247" i="4"/>
  <c r="D248" i="4"/>
  <c r="N248" i="4"/>
  <c r="D249" i="4"/>
  <c r="N249" i="4"/>
  <c r="D250" i="4"/>
  <c r="N250" i="4"/>
  <c r="D251" i="4"/>
  <c r="N251" i="4"/>
  <c r="D252" i="4"/>
  <c r="N252" i="4"/>
  <c r="D253" i="4"/>
  <c r="N253" i="4"/>
  <c r="N254" i="4"/>
  <c r="G17" i="3"/>
  <c r="F94" i="3"/>
  <c r="F93" i="3"/>
  <c r="F87" i="3"/>
  <c r="F88" i="3" s="1"/>
  <c r="F49" i="3"/>
  <c r="K51" i="3" s="1"/>
  <c r="F30" i="3"/>
  <c r="F27" i="3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6" i="2"/>
  <c r="F29" i="3"/>
  <c r="U249" i="2"/>
  <c r="U245" i="2"/>
  <c r="U237" i="2"/>
  <c r="U225" i="2"/>
  <c r="U217" i="2"/>
  <c r="U213" i="2"/>
  <c r="U205" i="2"/>
  <c r="U193" i="2"/>
  <c r="U185" i="2"/>
  <c r="U181" i="2"/>
  <c r="U173" i="2"/>
  <c r="U161" i="2"/>
  <c r="U149" i="2"/>
  <c r="U142" i="2"/>
  <c r="U141" i="2"/>
  <c r="U133" i="2"/>
  <c r="U130" i="2"/>
  <c r="U125" i="2"/>
  <c r="U122" i="2"/>
  <c r="U117" i="2"/>
  <c r="U114" i="2"/>
  <c r="U109" i="2"/>
  <c r="U106" i="2"/>
  <c r="U101" i="2"/>
  <c r="U98" i="2"/>
  <c r="U93" i="2"/>
  <c r="U90" i="2"/>
  <c r="U85" i="2"/>
  <c r="U82" i="2"/>
  <c r="U77" i="2"/>
  <c r="U74" i="2"/>
  <c r="U69" i="2"/>
  <c r="U66" i="2"/>
  <c r="U61" i="2"/>
  <c r="U58" i="2"/>
  <c r="U53" i="2"/>
  <c r="U50" i="2"/>
  <c r="U45" i="2"/>
  <c r="U42" i="2"/>
  <c r="U37" i="2"/>
  <c r="U34" i="2"/>
  <c r="U29" i="2"/>
  <c r="U26" i="2"/>
  <c r="U21" i="2"/>
  <c r="U18" i="2"/>
  <c r="U13" i="2"/>
  <c r="U10" i="2"/>
  <c r="R6" i="2"/>
  <c r="U7" i="2" s="1"/>
  <c r="R7" i="2"/>
  <c r="U8" i="2" s="1"/>
  <c r="R8" i="2"/>
  <c r="U9" i="2" s="1"/>
  <c r="R9" i="2"/>
  <c r="R10" i="2"/>
  <c r="U11" i="2" s="1"/>
  <c r="R11" i="2"/>
  <c r="U12" i="2" s="1"/>
  <c r="R12" i="2"/>
  <c r="R13" i="2"/>
  <c r="U14" i="2" s="1"/>
  <c r="R14" i="2"/>
  <c r="U15" i="2" s="1"/>
  <c r="R15" i="2"/>
  <c r="U16" i="2" s="1"/>
  <c r="R16" i="2"/>
  <c r="U17" i="2" s="1"/>
  <c r="R17" i="2"/>
  <c r="R18" i="2"/>
  <c r="U19" i="2" s="1"/>
  <c r="R19" i="2"/>
  <c r="U20" i="2" s="1"/>
  <c r="R20" i="2"/>
  <c r="R21" i="2"/>
  <c r="U22" i="2" s="1"/>
  <c r="R22" i="2"/>
  <c r="U23" i="2" s="1"/>
  <c r="R23" i="2"/>
  <c r="U24" i="2" s="1"/>
  <c r="R24" i="2"/>
  <c r="U25" i="2" s="1"/>
  <c r="R25" i="2"/>
  <c r="R26" i="2"/>
  <c r="U27" i="2" s="1"/>
  <c r="R27" i="2"/>
  <c r="U28" i="2" s="1"/>
  <c r="R28" i="2"/>
  <c r="R29" i="2"/>
  <c r="U30" i="2" s="1"/>
  <c r="R30" i="2"/>
  <c r="U31" i="2" s="1"/>
  <c r="R31" i="2"/>
  <c r="U32" i="2" s="1"/>
  <c r="R32" i="2"/>
  <c r="U33" i="2" s="1"/>
  <c r="R33" i="2"/>
  <c r="R34" i="2"/>
  <c r="U35" i="2" s="1"/>
  <c r="R35" i="2"/>
  <c r="U36" i="2" s="1"/>
  <c r="R36" i="2"/>
  <c r="R37" i="2"/>
  <c r="U38" i="2" s="1"/>
  <c r="R38" i="2"/>
  <c r="U39" i="2" s="1"/>
  <c r="R39" i="2"/>
  <c r="U40" i="2" s="1"/>
  <c r="R40" i="2"/>
  <c r="U41" i="2" s="1"/>
  <c r="R41" i="2"/>
  <c r="R42" i="2"/>
  <c r="U43" i="2" s="1"/>
  <c r="R43" i="2"/>
  <c r="U44" i="2" s="1"/>
  <c r="R44" i="2"/>
  <c r="R45" i="2"/>
  <c r="U46" i="2" s="1"/>
  <c r="R46" i="2"/>
  <c r="U47" i="2" s="1"/>
  <c r="R47" i="2"/>
  <c r="U48" i="2" s="1"/>
  <c r="R48" i="2"/>
  <c r="U49" i="2" s="1"/>
  <c r="R49" i="2"/>
  <c r="R50" i="2"/>
  <c r="U51" i="2" s="1"/>
  <c r="R51" i="2"/>
  <c r="U52" i="2" s="1"/>
  <c r="R52" i="2"/>
  <c r="R53" i="2"/>
  <c r="U54" i="2" s="1"/>
  <c r="R54" i="2"/>
  <c r="U55" i="2" s="1"/>
  <c r="R55" i="2"/>
  <c r="U56" i="2" s="1"/>
  <c r="R56" i="2"/>
  <c r="U57" i="2" s="1"/>
  <c r="R57" i="2"/>
  <c r="R58" i="2"/>
  <c r="U59" i="2" s="1"/>
  <c r="R59" i="2"/>
  <c r="U60" i="2" s="1"/>
  <c r="R60" i="2"/>
  <c r="R61" i="2"/>
  <c r="U62" i="2" s="1"/>
  <c r="R62" i="2"/>
  <c r="U63" i="2" s="1"/>
  <c r="R63" i="2"/>
  <c r="U64" i="2" s="1"/>
  <c r="R64" i="2"/>
  <c r="U65" i="2" s="1"/>
  <c r="R65" i="2"/>
  <c r="R66" i="2"/>
  <c r="U67" i="2" s="1"/>
  <c r="R67" i="2"/>
  <c r="U68" i="2" s="1"/>
  <c r="R68" i="2"/>
  <c r="R69" i="2"/>
  <c r="U70" i="2" s="1"/>
  <c r="R70" i="2"/>
  <c r="U71" i="2" s="1"/>
  <c r="R71" i="2"/>
  <c r="U72" i="2" s="1"/>
  <c r="R72" i="2"/>
  <c r="U73" i="2" s="1"/>
  <c r="R73" i="2"/>
  <c r="R74" i="2"/>
  <c r="U75" i="2" s="1"/>
  <c r="R75" i="2"/>
  <c r="U76" i="2" s="1"/>
  <c r="R76" i="2"/>
  <c r="R77" i="2"/>
  <c r="U78" i="2" s="1"/>
  <c r="R78" i="2"/>
  <c r="U79" i="2" s="1"/>
  <c r="R79" i="2"/>
  <c r="U80" i="2" s="1"/>
  <c r="R80" i="2"/>
  <c r="U81" i="2" s="1"/>
  <c r="R81" i="2"/>
  <c r="R82" i="2"/>
  <c r="U83" i="2" s="1"/>
  <c r="R83" i="2"/>
  <c r="U84" i="2" s="1"/>
  <c r="R84" i="2"/>
  <c r="R85" i="2"/>
  <c r="U86" i="2" s="1"/>
  <c r="R86" i="2"/>
  <c r="U87" i="2" s="1"/>
  <c r="R87" i="2"/>
  <c r="U88" i="2" s="1"/>
  <c r="R88" i="2"/>
  <c r="U89" i="2" s="1"/>
  <c r="R89" i="2"/>
  <c r="R90" i="2"/>
  <c r="U91" i="2" s="1"/>
  <c r="R91" i="2"/>
  <c r="U92" i="2" s="1"/>
  <c r="R92" i="2"/>
  <c r="R93" i="2"/>
  <c r="U94" i="2" s="1"/>
  <c r="R94" i="2"/>
  <c r="U95" i="2" s="1"/>
  <c r="R95" i="2"/>
  <c r="U96" i="2" s="1"/>
  <c r="R96" i="2"/>
  <c r="U97" i="2" s="1"/>
  <c r="R97" i="2"/>
  <c r="R98" i="2"/>
  <c r="U99" i="2" s="1"/>
  <c r="R99" i="2"/>
  <c r="U100" i="2" s="1"/>
  <c r="R100" i="2"/>
  <c r="R101" i="2"/>
  <c r="U102" i="2" s="1"/>
  <c r="R102" i="2"/>
  <c r="U103" i="2" s="1"/>
  <c r="R103" i="2"/>
  <c r="U104" i="2" s="1"/>
  <c r="R104" i="2"/>
  <c r="U105" i="2" s="1"/>
  <c r="R105" i="2"/>
  <c r="R106" i="2"/>
  <c r="U107" i="2" s="1"/>
  <c r="R107" i="2"/>
  <c r="U108" i="2" s="1"/>
  <c r="R108" i="2"/>
  <c r="R109" i="2"/>
  <c r="U110" i="2" s="1"/>
  <c r="R110" i="2"/>
  <c r="U111" i="2" s="1"/>
  <c r="R111" i="2"/>
  <c r="U112" i="2" s="1"/>
  <c r="R112" i="2"/>
  <c r="U113" i="2" s="1"/>
  <c r="R113" i="2"/>
  <c r="R114" i="2"/>
  <c r="U115" i="2" s="1"/>
  <c r="R115" i="2"/>
  <c r="U116" i="2" s="1"/>
  <c r="R116" i="2"/>
  <c r="R117" i="2"/>
  <c r="U118" i="2" s="1"/>
  <c r="R118" i="2"/>
  <c r="U119" i="2" s="1"/>
  <c r="R119" i="2"/>
  <c r="U120" i="2" s="1"/>
  <c r="R120" i="2"/>
  <c r="U121" i="2" s="1"/>
  <c r="R121" i="2"/>
  <c r="R122" i="2"/>
  <c r="U123" i="2" s="1"/>
  <c r="R123" i="2"/>
  <c r="U124" i="2" s="1"/>
  <c r="R124" i="2"/>
  <c r="R125" i="2"/>
  <c r="U126" i="2" s="1"/>
  <c r="R126" i="2"/>
  <c r="U127" i="2" s="1"/>
  <c r="R127" i="2"/>
  <c r="U128" i="2" s="1"/>
  <c r="R128" i="2"/>
  <c r="U129" i="2" s="1"/>
  <c r="R129" i="2"/>
  <c r="R130" i="2"/>
  <c r="U131" i="2" s="1"/>
  <c r="R131" i="2"/>
  <c r="U132" i="2" s="1"/>
  <c r="R132" i="2"/>
  <c r="R133" i="2"/>
  <c r="U134" i="2" s="1"/>
  <c r="R134" i="2"/>
  <c r="U135" i="2" s="1"/>
  <c r="R135" i="2"/>
  <c r="U136" i="2" s="1"/>
  <c r="R136" i="2"/>
  <c r="U137" i="2" s="1"/>
  <c r="R137" i="2"/>
  <c r="U138" i="2" s="1"/>
  <c r="R138" i="2"/>
  <c r="U139" i="2" s="1"/>
  <c r="R139" i="2"/>
  <c r="U140" i="2" s="1"/>
  <c r="R140" i="2"/>
  <c r="R141" i="2"/>
  <c r="R142" i="2"/>
  <c r="U143" i="2" s="1"/>
  <c r="R143" i="2"/>
  <c r="U144" i="2" s="1"/>
  <c r="R144" i="2"/>
  <c r="U145" i="2" s="1"/>
  <c r="R145" i="2"/>
  <c r="U146" i="2" s="1"/>
  <c r="R146" i="2"/>
  <c r="U147" i="2" s="1"/>
  <c r="R147" i="2"/>
  <c r="U148" i="2" s="1"/>
  <c r="R148" i="2"/>
  <c r="R149" i="2"/>
  <c r="U150" i="2" s="1"/>
  <c r="R150" i="2"/>
  <c r="U151" i="2" s="1"/>
  <c r="R151" i="2"/>
  <c r="U152" i="2" s="1"/>
  <c r="R152" i="2"/>
  <c r="U153" i="2" s="1"/>
  <c r="R153" i="2"/>
  <c r="U154" i="2" s="1"/>
  <c r="R154" i="2"/>
  <c r="U155" i="2" s="1"/>
  <c r="R155" i="2"/>
  <c r="U156" i="2" s="1"/>
  <c r="R156" i="2"/>
  <c r="U157" i="2" s="1"/>
  <c r="R157" i="2"/>
  <c r="U158" i="2" s="1"/>
  <c r="R158" i="2"/>
  <c r="U159" i="2" s="1"/>
  <c r="R159" i="2"/>
  <c r="U160" i="2" s="1"/>
  <c r="R160" i="2"/>
  <c r="R161" i="2"/>
  <c r="U162" i="2" s="1"/>
  <c r="R162" i="2"/>
  <c r="U163" i="2" s="1"/>
  <c r="R163" i="2"/>
  <c r="U164" i="2" s="1"/>
  <c r="R164" i="2"/>
  <c r="U165" i="2" s="1"/>
  <c r="R165" i="2"/>
  <c r="U166" i="2" s="1"/>
  <c r="R166" i="2"/>
  <c r="U167" i="2" s="1"/>
  <c r="R167" i="2"/>
  <c r="U168" i="2" s="1"/>
  <c r="R168" i="2"/>
  <c r="U169" i="2" s="1"/>
  <c r="R169" i="2"/>
  <c r="U170" i="2" s="1"/>
  <c r="R170" i="2"/>
  <c r="U171" i="2" s="1"/>
  <c r="R171" i="2"/>
  <c r="U172" i="2" s="1"/>
  <c r="R172" i="2"/>
  <c r="R173" i="2"/>
  <c r="U174" i="2" s="1"/>
  <c r="R174" i="2"/>
  <c r="U175" i="2" s="1"/>
  <c r="R175" i="2"/>
  <c r="U176" i="2" s="1"/>
  <c r="R176" i="2"/>
  <c r="U177" i="2" s="1"/>
  <c r="R177" i="2"/>
  <c r="U178" i="2" s="1"/>
  <c r="R178" i="2"/>
  <c r="U179" i="2" s="1"/>
  <c r="R179" i="2"/>
  <c r="U180" i="2" s="1"/>
  <c r="R180" i="2"/>
  <c r="R181" i="2"/>
  <c r="U182" i="2" s="1"/>
  <c r="R182" i="2"/>
  <c r="U183" i="2" s="1"/>
  <c r="R183" i="2"/>
  <c r="U184" i="2" s="1"/>
  <c r="R184" i="2"/>
  <c r="R185" i="2"/>
  <c r="U186" i="2" s="1"/>
  <c r="R186" i="2"/>
  <c r="U187" i="2" s="1"/>
  <c r="R187" i="2"/>
  <c r="U188" i="2" s="1"/>
  <c r="R188" i="2"/>
  <c r="U189" i="2" s="1"/>
  <c r="R189" i="2"/>
  <c r="U190" i="2" s="1"/>
  <c r="R190" i="2"/>
  <c r="U191" i="2" s="1"/>
  <c r="R191" i="2"/>
  <c r="U192" i="2" s="1"/>
  <c r="R192" i="2"/>
  <c r="R193" i="2"/>
  <c r="U194" i="2" s="1"/>
  <c r="R194" i="2"/>
  <c r="U195" i="2" s="1"/>
  <c r="R195" i="2"/>
  <c r="U196" i="2" s="1"/>
  <c r="R196" i="2"/>
  <c r="U197" i="2" s="1"/>
  <c r="R197" i="2"/>
  <c r="U198" i="2" s="1"/>
  <c r="R198" i="2"/>
  <c r="U199" i="2" s="1"/>
  <c r="R199" i="2"/>
  <c r="U200" i="2" s="1"/>
  <c r="R200" i="2"/>
  <c r="U201" i="2" s="1"/>
  <c r="R201" i="2"/>
  <c r="U202" i="2" s="1"/>
  <c r="R202" i="2"/>
  <c r="U203" i="2" s="1"/>
  <c r="R203" i="2"/>
  <c r="U204" i="2" s="1"/>
  <c r="R204" i="2"/>
  <c r="R205" i="2"/>
  <c r="U206" i="2" s="1"/>
  <c r="R206" i="2"/>
  <c r="U207" i="2" s="1"/>
  <c r="R207" i="2"/>
  <c r="U208" i="2" s="1"/>
  <c r="R208" i="2"/>
  <c r="U209" i="2" s="1"/>
  <c r="R209" i="2"/>
  <c r="U210" i="2" s="1"/>
  <c r="R210" i="2"/>
  <c r="U211" i="2" s="1"/>
  <c r="R211" i="2"/>
  <c r="U212" i="2" s="1"/>
  <c r="R212" i="2"/>
  <c r="R213" i="2"/>
  <c r="U214" i="2" s="1"/>
  <c r="R214" i="2"/>
  <c r="U215" i="2" s="1"/>
  <c r="R215" i="2"/>
  <c r="U216" i="2" s="1"/>
  <c r="R216" i="2"/>
  <c r="R217" i="2"/>
  <c r="U218" i="2" s="1"/>
  <c r="R218" i="2"/>
  <c r="U219" i="2" s="1"/>
  <c r="R219" i="2"/>
  <c r="U220" i="2" s="1"/>
  <c r="R220" i="2"/>
  <c r="U221" i="2" s="1"/>
  <c r="R221" i="2"/>
  <c r="U222" i="2" s="1"/>
  <c r="R222" i="2"/>
  <c r="U223" i="2" s="1"/>
  <c r="R223" i="2"/>
  <c r="U224" i="2" s="1"/>
  <c r="R224" i="2"/>
  <c r="R225" i="2"/>
  <c r="U226" i="2" s="1"/>
  <c r="R226" i="2"/>
  <c r="U227" i="2" s="1"/>
  <c r="R227" i="2"/>
  <c r="U228" i="2" s="1"/>
  <c r="R228" i="2"/>
  <c r="U229" i="2" s="1"/>
  <c r="R229" i="2"/>
  <c r="U230" i="2" s="1"/>
  <c r="R230" i="2"/>
  <c r="U231" i="2" s="1"/>
  <c r="R231" i="2"/>
  <c r="U232" i="2" s="1"/>
  <c r="R232" i="2"/>
  <c r="U233" i="2" s="1"/>
  <c r="R233" i="2"/>
  <c r="U234" i="2" s="1"/>
  <c r="R234" i="2"/>
  <c r="U235" i="2" s="1"/>
  <c r="R235" i="2"/>
  <c r="U236" i="2" s="1"/>
  <c r="R236" i="2"/>
  <c r="R237" i="2"/>
  <c r="U238" i="2" s="1"/>
  <c r="R238" i="2"/>
  <c r="U239" i="2" s="1"/>
  <c r="R239" i="2"/>
  <c r="U240" i="2" s="1"/>
  <c r="R240" i="2"/>
  <c r="U241" i="2" s="1"/>
  <c r="R241" i="2"/>
  <c r="U242" i="2" s="1"/>
  <c r="R242" i="2"/>
  <c r="U243" i="2" s="1"/>
  <c r="R243" i="2"/>
  <c r="U244" i="2" s="1"/>
  <c r="R244" i="2"/>
  <c r="R245" i="2"/>
  <c r="U246" i="2" s="1"/>
  <c r="R246" i="2"/>
  <c r="U247" i="2" s="1"/>
  <c r="R247" i="2"/>
  <c r="U248" i="2" s="1"/>
  <c r="R248" i="2"/>
  <c r="R249" i="2"/>
  <c r="U250" i="2" s="1"/>
  <c r="R250" i="2"/>
  <c r="U251" i="2" s="1"/>
  <c r="R251" i="2"/>
  <c r="U252" i="2" s="1"/>
  <c r="R252" i="2"/>
  <c r="U253" i="2" s="1"/>
  <c r="R253" i="2"/>
  <c r="U254" i="2" s="1"/>
  <c r="R254" i="2"/>
  <c r="U255" i="2" s="1"/>
  <c r="R255" i="2"/>
  <c r="R5" i="2"/>
  <c r="U6" i="2" s="1"/>
  <c r="P4" i="2"/>
  <c r="I266" i="2"/>
  <c r="I5" i="2"/>
  <c r="F95" i="3" l="1"/>
  <c r="F89" i="3" s="1"/>
  <c r="F101" i="3" s="1"/>
  <c r="F103" i="3" s="1"/>
  <c r="F48" i="3"/>
  <c r="L47" i="3" s="1"/>
  <c r="I17" i="3"/>
  <c r="F25" i="3"/>
  <c r="F28" i="3" s="1"/>
  <c r="K53" i="3"/>
  <c r="F102" i="3"/>
  <c r="F104" i="3" s="1"/>
  <c r="F105" i="3" s="1"/>
  <c r="K56" i="3"/>
  <c r="K52" i="3"/>
  <c r="K47" i="3"/>
  <c r="K48" i="3"/>
  <c r="L49" i="3"/>
  <c r="L53" i="3"/>
  <c r="L55" i="3"/>
  <c r="L56" i="3"/>
  <c r="L50" i="3"/>
  <c r="K54" i="3"/>
  <c r="K50" i="3"/>
  <c r="K49" i="3"/>
  <c r="K55" i="3"/>
  <c r="L51" i="3" l="1"/>
  <c r="L52" i="3"/>
  <c r="L54" i="3"/>
  <c r="F55" i="3" s="1"/>
  <c r="L48" i="3"/>
  <c r="I14" i="3"/>
  <c r="I13" i="3"/>
  <c r="F54" i="3"/>
  <c r="F63" i="3" l="1"/>
  <c r="F64" i="3" s="1"/>
  <c r="F61" i="3"/>
  <c r="F62" i="3" s="1"/>
  <c r="F36" i="3"/>
  <c r="F37" i="3" s="1"/>
  <c r="F38" i="3" s="1"/>
  <c r="F70" i="3"/>
  <c r="F46" i="3" l="1"/>
  <c r="F71" i="3" s="1"/>
  <c r="F72" i="3" s="1"/>
  <c r="F39" i="3"/>
  <c r="F47" i="3" s="1"/>
  <c r="F65" i="3"/>
  <c r="F66" i="3" s="1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F68" i="3" l="1"/>
  <c r="F41" i="3"/>
  <c r="N4" i="2"/>
  <c r="I85" i="2"/>
  <c r="I186" i="2"/>
  <c r="I118" i="2"/>
  <c r="I190" i="2"/>
  <c r="I102" i="2"/>
  <c r="I203" i="2"/>
  <c r="I93" i="2"/>
  <c r="I174" i="2"/>
  <c r="I251" i="2"/>
  <c r="I38" i="2"/>
  <c r="I130" i="2"/>
  <c r="I237" i="2"/>
  <c r="I99" i="2"/>
  <c r="I180" i="2"/>
  <c r="I249" i="2"/>
  <c r="I23" i="2"/>
  <c r="I246" i="2"/>
  <c r="I215" i="2"/>
  <c r="I62" i="2"/>
  <c r="I15" i="2"/>
  <c r="I132" i="2"/>
  <c r="I139" i="2"/>
  <c r="I252" i="2"/>
  <c r="I172" i="2"/>
  <c r="I210" i="2"/>
  <c r="I94" i="2"/>
  <c r="I61" i="2"/>
  <c r="I56" i="2"/>
  <c r="I226" i="2"/>
  <c r="I204" i="2"/>
  <c r="I42" i="2"/>
  <c r="I10" i="2"/>
  <c r="I43" i="2"/>
  <c r="I211" i="2"/>
  <c r="I74" i="2"/>
  <c r="I162" i="2"/>
  <c r="I253" i="2"/>
  <c r="I205" i="2"/>
  <c r="I189" i="2"/>
  <c r="I21" i="2"/>
  <c r="I188" i="2"/>
  <c r="I31" i="2"/>
  <c r="I39" i="2"/>
  <c r="I29" i="2"/>
  <c r="I235" i="2"/>
  <c r="I115" i="2"/>
  <c r="I100" i="2"/>
  <c r="I92" i="2"/>
  <c r="I146" i="2"/>
  <c r="I192" i="2"/>
  <c r="I133" i="2"/>
  <c r="I109" i="2"/>
  <c r="I240" i="2"/>
  <c r="I52" i="2"/>
  <c r="I191" i="2"/>
  <c r="I25" i="2"/>
  <c r="I54" i="2"/>
  <c r="I148" i="2"/>
  <c r="I182" i="2"/>
  <c r="I19" i="2"/>
  <c r="I247" i="2"/>
  <c r="I129" i="2"/>
  <c r="I229" i="2"/>
  <c r="I236" i="2"/>
  <c r="I225" i="2"/>
  <c r="I17" i="2"/>
  <c r="I241" i="2"/>
  <c r="I14" i="2"/>
  <c r="I242" i="2"/>
  <c r="I171" i="2"/>
  <c r="I243" i="2"/>
  <c r="I75" i="2"/>
  <c r="I230" i="2"/>
  <c r="I122" i="2"/>
  <c r="I223" i="2"/>
  <c r="I213" i="2"/>
  <c r="I141" i="2"/>
  <c r="I231" i="2"/>
  <c r="I44" i="2"/>
  <c r="I179" i="2"/>
  <c r="I169" i="2"/>
  <c r="I76" i="2"/>
  <c r="I193" i="2"/>
  <c r="I220" i="2"/>
  <c r="I97" i="2"/>
  <c r="I89" i="2"/>
  <c r="I12" i="2"/>
  <c r="I18" i="2"/>
  <c r="I238" i="2"/>
  <c r="I126" i="2"/>
  <c r="I95" i="2"/>
  <c r="I112" i="2"/>
  <c r="I202" i="2"/>
  <c r="I35" i="2"/>
  <c r="I166" i="2"/>
  <c r="I195" i="2"/>
  <c r="I183" i="2"/>
  <c r="I181" i="2"/>
  <c r="I173" i="2"/>
  <c r="I250" i="2"/>
  <c r="I197" i="2"/>
  <c r="I59" i="2"/>
  <c r="I217" i="2"/>
  <c r="I64" i="2"/>
  <c r="I98" i="2"/>
  <c r="I255" i="2"/>
  <c r="I121" i="2"/>
  <c r="I69" i="2"/>
  <c r="I135" i="2"/>
  <c r="I199" i="2"/>
  <c r="I71" i="2"/>
  <c r="I53" i="2"/>
  <c r="I24" i="2"/>
  <c r="I219" i="2"/>
  <c r="I207" i="2"/>
  <c r="I77" i="2"/>
  <c r="I114" i="2"/>
  <c r="I147" i="2"/>
  <c r="I175" i="2"/>
  <c r="I209" i="2"/>
  <c r="I227" i="2"/>
  <c r="I20" i="2"/>
  <c r="I46" i="2"/>
  <c r="I140" i="2"/>
  <c r="I142" i="2"/>
  <c r="I8" i="2"/>
  <c r="I165" i="2"/>
  <c r="I157" i="2"/>
  <c r="I245" i="2"/>
  <c r="I104" i="2"/>
  <c r="I117" i="2"/>
  <c r="I110" i="2"/>
  <c r="I72" i="2"/>
  <c r="I107" i="2"/>
  <c r="I9" i="2"/>
  <c r="I239" i="2"/>
  <c r="I137" i="2"/>
  <c r="I206" i="2"/>
  <c r="I27" i="2"/>
  <c r="I161" i="2"/>
  <c r="I103" i="2"/>
  <c r="I156" i="2"/>
  <c r="I51" i="2"/>
  <c r="I187" i="2"/>
  <c r="I151" i="2"/>
  <c r="I57" i="2"/>
  <c r="I224" i="2"/>
  <c r="I233" i="2"/>
  <c r="I47" i="2"/>
  <c r="I145" i="2"/>
  <c r="I60" i="2"/>
  <c r="I67" i="2"/>
  <c r="I50" i="2"/>
  <c r="I178" i="2"/>
  <c r="I84" i="2"/>
  <c r="I170" i="2"/>
  <c r="I6" i="2"/>
  <c r="I37" i="2"/>
  <c r="I168" i="2"/>
  <c r="I232" i="2"/>
  <c r="I154" i="2"/>
  <c r="I70" i="2"/>
  <c r="I222" i="2"/>
  <c r="I163" i="2"/>
  <c r="I63" i="2"/>
  <c r="I82" i="2"/>
  <c r="I105" i="2"/>
  <c r="I101" i="2"/>
  <c r="I153" i="2"/>
  <c r="I136" i="2"/>
  <c r="I48" i="2"/>
  <c r="I244" i="2"/>
  <c r="I216" i="2"/>
  <c r="I150" i="2"/>
  <c r="I49" i="2"/>
  <c r="I184" i="2"/>
  <c r="I41" i="2"/>
  <c r="I66" i="2"/>
  <c r="I160" i="2"/>
  <c r="I120" i="2"/>
  <c r="I131" i="2"/>
  <c r="I152" i="2"/>
  <c r="I138" i="2"/>
  <c r="I212" i="2"/>
  <c r="I228" i="2"/>
  <c r="I134" i="2"/>
  <c r="I80" i="2"/>
  <c r="I128" i="2"/>
  <c r="I33" i="2"/>
  <c r="P266" i="2" l="1"/>
  <c r="P5" i="2"/>
  <c r="P33" i="2"/>
  <c r="P105" i="2"/>
  <c r="P35" i="2"/>
  <c r="P147" i="2"/>
  <c r="P112" i="2"/>
  <c r="P14" i="2"/>
  <c r="P166" i="2"/>
  <c r="P252" i="2"/>
  <c r="P101" i="2"/>
  <c r="P82" i="2"/>
  <c r="P156" i="2"/>
  <c r="P202" i="2"/>
  <c r="P95" i="2"/>
  <c r="P241" i="2"/>
  <c r="P235" i="2"/>
  <c r="P139" i="2"/>
  <c r="P175" i="2"/>
  <c r="P63" i="2"/>
  <c r="P103" i="2"/>
  <c r="P114" i="2"/>
  <c r="P126" i="2"/>
  <c r="P17" i="2"/>
  <c r="P172" i="2"/>
  <c r="P132" i="2"/>
  <c r="P51" i="2"/>
  <c r="P163" i="2"/>
  <c r="P161" i="2"/>
  <c r="P77" i="2"/>
  <c r="P238" i="2"/>
  <c r="P225" i="2"/>
  <c r="P29" i="2"/>
  <c r="P15" i="2"/>
  <c r="P128" i="2"/>
  <c r="P222" i="2"/>
  <c r="P27" i="2"/>
  <c r="P207" i="2"/>
  <c r="P18" i="2"/>
  <c r="P236" i="2"/>
  <c r="P39" i="2"/>
  <c r="P62" i="2"/>
  <c r="P80" i="2"/>
  <c r="P70" i="2"/>
  <c r="P206" i="2"/>
  <c r="P219" i="2"/>
  <c r="P12" i="2"/>
  <c r="P229" i="2"/>
  <c r="P31" i="2"/>
  <c r="P215" i="2"/>
  <c r="P134" i="2"/>
  <c r="P154" i="2"/>
  <c r="P137" i="2"/>
  <c r="P24" i="2"/>
  <c r="P89" i="2"/>
  <c r="P129" i="2"/>
  <c r="P188" i="2"/>
  <c r="P246" i="2"/>
  <c r="P228" i="2"/>
  <c r="P232" i="2"/>
  <c r="P239" i="2"/>
  <c r="P53" i="2"/>
  <c r="P97" i="2"/>
  <c r="P247" i="2"/>
  <c r="P21" i="2"/>
  <c r="P23" i="2"/>
  <c r="P212" i="2"/>
  <c r="P168" i="2"/>
  <c r="P9" i="2"/>
  <c r="P71" i="2"/>
  <c r="P220" i="2"/>
  <c r="P19" i="2"/>
  <c r="P189" i="2"/>
  <c r="P249" i="2"/>
  <c r="P138" i="2"/>
  <c r="P37" i="2"/>
  <c r="P107" i="2"/>
  <c r="P199" i="2"/>
  <c r="P193" i="2"/>
  <c r="P182" i="2"/>
  <c r="P205" i="2"/>
  <c r="P180" i="2"/>
  <c r="P152" i="2"/>
  <c r="P6" i="2"/>
  <c r="P72" i="2"/>
  <c r="P135" i="2"/>
  <c r="P76" i="2"/>
  <c r="P148" i="2"/>
  <c r="P253" i="2"/>
  <c r="P99" i="2"/>
  <c r="P131" i="2"/>
  <c r="P170" i="2"/>
  <c r="P110" i="2"/>
  <c r="P69" i="2"/>
  <c r="P169" i="2"/>
  <c r="P54" i="2"/>
  <c r="P162" i="2"/>
  <c r="P237" i="2"/>
  <c r="P120" i="2"/>
  <c r="P84" i="2"/>
  <c r="P117" i="2"/>
  <c r="P121" i="2"/>
  <c r="P179" i="2"/>
  <c r="P25" i="2"/>
  <c r="P74" i="2"/>
  <c r="P130" i="2"/>
  <c r="P160" i="2"/>
  <c r="P178" i="2"/>
  <c r="P104" i="2"/>
  <c r="P255" i="2"/>
  <c r="P44" i="2"/>
  <c r="P191" i="2"/>
  <c r="P211" i="2"/>
  <c r="P38" i="2"/>
  <c r="P66" i="2"/>
  <c r="P50" i="2"/>
  <c r="P245" i="2"/>
  <c r="P98" i="2"/>
  <c r="P231" i="2"/>
  <c r="P52" i="2"/>
  <c r="P43" i="2"/>
  <c r="P251" i="2"/>
  <c r="P41" i="2"/>
  <c r="P67" i="2"/>
  <c r="P157" i="2"/>
  <c r="P64" i="2"/>
  <c r="P141" i="2"/>
  <c r="P240" i="2"/>
  <c r="P10" i="2"/>
  <c r="P174" i="2"/>
  <c r="P184" i="2"/>
  <c r="P60" i="2"/>
  <c r="P165" i="2"/>
  <c r="P217" i="2"/>
  <c r="P213" i="2"/>
  <c r="P109" i="2"/>
  <c r="P42" i="2"/>
  <c r="P93" i="2"/>
  <c r="P49" i="2"/>
  <c r="P145" i="2"/>
  <c r="P8" i="2"/>
  <c r="P59" i="2"/>
  <c r="P223" i="2"/>
  <c r="P133" i="2"/>
  <c r="P204" i="2"/>
  <c r="P203" i="2"/>
  <c r="P150" i="2"/>
  <c r="P47" i="2"/>
  <c r="P142" i="2"/>
  <c r="P197" i="2"/>
  <c r="P122" i="2"/>
  <c r="P192" i="2"/>
  <c r="P226" i="2"/>
  <c r="P102" i="2"/>
  <c r="P216" i="2"/>
  <c r="P233" i="2"/>
  <c r="P140" i="2"/>
  <c r="P250" i="2"/>
  <c r="P230" i="2"/>
  <c r="P146" i="2"/>
  <c r="P56" i="2"/>
  <c r="P190" i="2"/>
  <c r="P244" i="2"/>
  <c r="P224" i="2"/>
  <c r="P46" i="2"/>
  <c r="P173" i="2"/>
  <c r="P75" i="2"/>
  <c r="P92" i="2"/>
  <c r="P61" i="2"/>
  <c r="P118" i="2"/>
  <c r="P48" i="2"/>
  <c r="P57" i="2"/>
  <c r="P20" i="2"/>
  <c r="P181" i="2"/>
  <c r="P243" i="2"/>
  <c r="P100" i="2"/>
  <c r="P94" i="2"/>
  <c r="P186" i="2"/>
  <c r="P136" i="2"/>
  <c r="P151" i="2"/>
  <c r="P227" i="2"/>
  <c r="P183" i="2"/>
  <c r="P171" i="2"/>
  <c r="P115" i="2"/>
  <c r="P210" i="2"/>
  <c r="P85" i="2"/>
  <c r="P153" i="2"/>
  <c r="P187" i="2"/>
  <c r="P209" i="2"/>
  <c r="P195" i="2"/>
  <c r="P242" i="2"/>
  <c r="I256" i="2"/>
  <c r="I194" i="2"/>
  <c r="I176" i="2"/>
  <c r="I28" i="2"/>
  <c r="I144" i="2"/>
  <c r="I90" i="2"/>
  <c r="I143" i="2"/>
  <c r="I88" i="2"/>
  <c r="I36" i="2"/>
  <c r="I264" i="2"/>
  <c r="I196" i="2"/>
  <c r="I113" i="2"/>
  <c r="I263" i="2"/>
  <c r="I265" i="2"/>
  <c r="I164" i="2"/>
  <c r="I234" i="2"/>
  <c r="I91" i="2"/>
  <c r="I26" i="2"/>
  <c r="I11" i="2"/>
  <c r="I248" i="2"/>
  <c r="I16" i="2"/>
  <c r="I260" i="2"/>
  <c r="I208" i="2"/>
  <c r="I86" i="2"/>
  <c r="I262" i="2"/>
  <c r="I201" i="2"/>
  <c r="I155" i="2"/>
  <c r="I218" i="2"/>
  <c r="I159" i="2"/>
  <c r="I214" i="2"/>
  <c r="I65" i="2"/>
  <c r="I34" i="2"/>
  <c r="I221" i="2"/>
  <c r="I158" i="2"/>
  <c r="I149" i="2"/>
  <c r="I106" i="2"/>
  <c r="I261" i="2"/>
  <c r="I73" i="2"/>
  <c r="I58" i="2"/>
  <c r="I111" i="2"/>
  <c r="I45" i="2"/>
  <c r="I185" i="2"/>
  <c r="I32" i="2"/>
  <c r="I254" i="2"/>
  <c r="I108" i="2"/>
  <c r="I81" i="2"/>
  <c r="I40" i="2"/>
  <c r="I259" i="2"/>
  <c r="I124" i="2"/>
  <c r="I177" i="2"/>
  <c r="I125" i="2"/>
  <c r="I68" i="2"/>
  <c r="I78" i="2"/>
  <c r="I123" i="2"/>
  <c r="I79" i="2"/>
  <c r="I119" i="2"/>
  <c r="I96" i="2"/>
  <c r="I13" i="2"/>
  <c r="I87" i="2"/>
  <c r="I258" i="2"/>
  <c r="I127" i="2"/>
  <c r="I55" i="2"/>
  <c r="I167" i="2"/>
  <c r="I30" i="2"/>
  <c r="I116" i="2"/>
  <c r="I7" i="2"/>
  <c r="I200" i="2"/>
  <c r="I22" i="2"/>
  <c r="I257" i="2"/>
  <c r="I198" i="2"/>
  <c r="I83" i="2"/>
  <c r="P83" i="2" l="1"/>
  <c r="P198" i="2"/>
  <c r="P257" i="2"/>
  <c r="P22" i="2"/>
  <c r="P200" i="2"/>
  <c r="P7" i="2"/>
  <c r="P116" i="2"/>
  <c r="P30" i="2"/>
  <c r="T31" i="2" s="1"/>
  <c r="P167" i="2"/>
  <c r="P55" i="2"/>
  <c r="P127" i="2"/>
  <c r="P258" i="2"/>
  <c r="P87" i="2"/>
  <c r="P13" i="2"/>
  <c r="P96" i="2"/>
  <c r="P119" i="2"/>
  <c r="T120" i="2" s="1"/>
  <c r="P79" i="2"/>
  <c r="P123" i="2"/>
  <c r="P78" i="2"/>
  <c r="P68" i="2"/>
  <c r="P125" i="2"/>
  <c r="P177" i="2"/>
  <c r="P124" i="2"/>
  <c r="P259" i="2"/>
  <c r="T259" i="2" s="1"/>
  <c r="P40" i="2"/>
  <c r="P81" i="2"/>
  <c r="P108" i="2"/>
  <c r="P254" i="2"/>
  <c r="P32" i="2"/>
  <c r="P185" i="2"/>
  <c r="P45" i="2"/>
  <c r="P111" i="2"/>
  <c r="T112" i="2" s="1"/>
  <c r="P58" i="2"/>
  <c r="P73" i="2"/>
  <c r="P261" i="2"/>
  <c r="P106" i="2"/>
  <c r="P149" i="2"/>
  <c r="P158" i="2"/>
  <c r="P221" i="2"/>
  <c r="P34" i="2"/>
  <c r="T34" i="2" s="1"/>
  <c r="P65" i="2"/>
  <c r="P214" i="2"/>
  <c r="P159" i="2"/>
  <c r="P218" i="2"/>
  <c r="P155" i="2"/>
  <c r="P201" i="2"/>
  <c r="P262" i="2"/>
  <c r="P86" i="2"/>
  <c r="T86" i="2" s="1"/>
  <c r="P208" i="2"/>
  <c r="P260" i="2"/>
  <c r="P16" i="2"/>
  <c r="P248" i="2"/>
  <c r="P11" i="2"/>
  <c r="P26" i="2"/>
  <c r="P91" i="2"/>
  <c r="P234" i="2"/>
  <c r="T235" i="2" s="1"/>
  <c r="P164" i="2"/>
  <c r="P265" i="2"/>
  <c r="P263" i="2"/>
  <c r="P113" i="2"/>
  <c r="P196" i="2"/>
  <c r="P264" i="2"/>
  <c r="P36" i="2"/>
  <c r="T36" i="2" s="1"/>
  <c r="P88" i="2"/>
  <c r="T89" i="2" s="1"/>
  <c r="P143" i="2"/>
  <c r="P90" i="2"/>
  <c r="P144" i="2"/>
  <c r="P28" i="2"/>
  <c r="P176" i="2"/>
  <c r="P194" i="2"/>
  <c r="P256" i="2"/>
  <c r="T52" i="2"/>
  <c r="T125" i="2"/>
  <c r="T78" i="2"/>
  <c r="T106" i="2"/>
  <c r="T68" i="2"/>
  <c r="T257" i="2"/>
  <c r="T96" i="2"/>
  <c r="T20" i="2"/>
  <c r="T151" i="2"/>
  <c r="T265" i="2"/>
  <c r="T242" i="2"/>
  <c r="T164" i="2"/>
  <c r="T57" i="2"/>
  <c r="T185" i="2"/>
  <c r="T233" i="2"/>
  <c r="T40" i="2"/>
  <c r="T13" i="2"/>
  <c r="T149" i="2"/>
  <c r="T48" i="2"/>
  <c r="T250" i="2"/>
  <c r="T247" i="2"/>
  <c r="T122" i="2"/>
  <c r="T155" i="2"/>
  <c r="N5" i="2"/>
  <c r="T248" i="2"/>
  <c r="T83" i="2"/>
  <c r="T75" i="2"/>
  <c r="T22" i="2"/>
  <c r="T200" i="2"/>
  <c r="T167" i="2"/>
  <c r="T127" i="2"/>
  <c r="T258" i="2"/>
  <c r="T7" i="2"/>
  <c r="T159" i="2"/>
  <c r="T98" i="2"/>
  <c r="T212" i="2"/>
  <c r="T239" i="2"/>
  <c r="T27" i="2"/>
  <c r="T189" i="2"/>
  <c r="T10" i="2"/>
  <c r="T66" i="2"/>
  <c r="T162" i="2"/>
  <c r="T72" i="2"/>
  <c r="T232" i="2"/>
  <c r="T143" i="2"/>
  <c r="T261" i="2"/>
  <c r="T262" i="2"/>
  <c r="T94" i="2"/>
  <c r="T263" i="2"/>
  <c r="T100" i="2"/>
  <c r="T118" i="2"/>
  <c r="T224" i="2"/>
  <c r="T138" i="2"/>
  <c r="T264" i="2"/>
  <c r="T153" i="2"/>
  <c r="T227" i="2"/>
  <c r="T61" i="2"/>
  <c r="T192" i="2"/>
  <c r="T240" i="2"/>
  <c r="T50" i="2"/>
  <c r="T255" i="2"/>
  <c r="T237" i="2"/>
  <c r="T170" i="2"/>
  <c r="T53" i="2"/>
  <c r="T129" i="2"/>
  <c r="T215" i="2"/>
  <c r="T202" i="2"/>
  <c r="T14" i="2"/>
  <c r="T266" i="2"/>
  <c r="T256" i="2"/>
  <c r="T218" i="2"/>
  <c r="T210" i="2"/>
  <c r="T136" i="2"/>
  <c r="T190" i="2"/>
  <c r="T197" i="2"/>
  <c r="T133" i="2"/>
  <c r="T64" i="2"/>
  <c r="T38" i="2"/>
  <c r="T178" i="2"/>
  <c r="T24" i="2"/>
  <c r="T139" i="2"/>
  <c r="T147" i="2"/>
  <c r="T195" i="2"/>
  <c r="T186" i="2"/>
  <c r="T173" i="2"/>
  <c r="T56" i="2"/>
  <c r="T216" i="2"/>
  <c r="T142" i="2"/>
  <c r="T223" i="2"/>
  <c r="T117" i="2"/>
  <c r="T169" i="2"/>
  <c r="T253" i="2"/>
  <c r="T152" i="2"/>
  <c r="T107" i="2"/>
  <c r="T220" i="2"/>
  <c r="T113" i="2"/>
  <c r="T91" i="2"/>
  <c r="T28" i="2"/>
  <c r="T176" i="2"/>
  <c r="T209" i="2"/>
  <c r="T46" i="2"/>
  <c r="T146" i="2"/>
  <c r="T59" i="2"/>
  <c r="T109" i="2"/>
  <c r="T67" i="2"/>
  <c r="T130" i="2"/>
  <c r="T84" i="2"/>
  <c r="T69" i="2"/>
  <c r="T180" i="2"/>
  <c r="T71" i="2"/>
  <c r="T15" i="2"/>
  <c r="T163" i="2"/>
  <c r="T32" i="2"/>
  <c r="T81" i="2"/>
  <c r="T171" i="2"/>
  <c r="T183" i="2"/>
  <c r="T226" i="2"/>
  <c r="T8" i="2"/>
  <c r="T41" i="2"/>
  <c r="T44" i="2"/>
  <c r="T74" i="2"/>
  <c r="T134" i="2"/>
  <c r="T206" i="2"/>
  <c r="T18" i="2"/>
  <c r="T103" i="2"/>
  <c r="T229" i="2"/>
  <c r="T62" i="2"/>
  <c r="T207" i="2"/>
  <c r="T194" i="2"/>
  <c r="T29" i="2"/>
  <c r="T51" i="2"/>
  <c r="T124" i="2"/>
  <c r="T156" i="2"/>
  <c r="T101" i="2"/>
  <c r="T243" i="2"/>
  <c r="T244" i="2"/>
  <c r="T193" i="2"/>
  <c r="T114" i="2"/>
  <c r="T82" i="2"/>
  <c r="T198" i="2"/>
  <c r="T234" i="2"/>
  <c r="T37" i="2"/>
  <c r="T21" i="2"/>
  <c r="T228" i="2"/>
  <c r="T70" i="2"/>
  <c r="T196" i="2"/>
  <c r="T144" i="2"/>
  <c r="T221" i="2"/>
  <c r="T102" i="2"/>
  <c r="T16" i="2"/>
  <c r="T47" i="2"/>
  <c r="T203" i="2"/>
  <c r="T145" i="2"/>
  <c r="T93" i="2"/>
  <c r="T217" i="2"/>
  <c r="T60" i="2"/>
  <c r="T174" i="2"/>
  <c r="T79" i="2"/>
  <c r="T157" i="2"/>
  <c r="T43" i="2"/>
  <c r="T231" i="2"/>
  <c r="T211" i="2"/>
  <c r="T104" i="2"/>
  <c r="T160" i="2"/>
  <c r="T25" i="2"/>
  <c r="T121" i="2"/>
  <c r="T54" i="2"/>
  <c r="T76" i="2"/>
  <c r="T205" i="2"/>
  <c r="T55" i="2"/>
  <c r="T177" i="2"/>
  <c r="T9" i="2"/>
  <c r="T108" i="2"/>
  <c r="T65" i="2"/>
  <c r="T246" i="2"/>
  <c r="T11" i="2"/>
  <c r="T137" i="2"/>
  <c r="T12" i="2"/>
  <c r="T80" i="2"/>
  <c r="T39" i="2"/>
  <c r="T222" i="2"/>
  <c r="T225" i="2"/>
  <c r="T77" i="2"/>
  <c r="T132" i="2"/>
  <c r="T17" i="2"/>
  <c r="T63" i="2"/>
  <c r="T241" i="2"/>
  <c r="T214" i="2"/>
  <c r="T252" i="2"/>
  <c r="T26" i="2"/>
  <c r="T105" i="2"/>
  <c r="T245" i="2"/>
  <c r="T115" i="2"/>
  <c r="T140" i="2"/>
  <c r="T213" i="2"/>
  <c r="T141" i="2"/>
  <c r="T251" i="2"/>
  <c r="T110" i="2"/>
  <c r="T148" i="2"/>
  <c r="T123" i="2"/>
  <c r="T187" i="2"/>
  <c r="T85" i="2"/>
  <c r="T181" i="2"/>
  <c r="T92" i="2"/>
  <c r="T208" i="2"/>
  <c r="T230" i="2"/>
  <c r="T45" i="2"/>
  <c r="T150" i="2"/>
  <c r="T204" i="2"/>
  <c r="T49" i="2"/>
  <c r="T42" i="2"/>
  <c r="T166" i="2"/>
  <c r="T165" i="2"/>
  <c r="T184" i="2"/>
  <c r="T254" i="2"/>
  <c r="T191" i="2"/>
  <c r="T179" i="2"/>
  <c r="T131" i="2"/>
  <c r="T99" i="2"/>
  <c r="T135" i="2"/>
  <c r="T6" i="2"/>
  <c r="T182" i="2"/>
  <c r="T199" i="2"/>
  <c r="T249" i="2"/>
  <c r="T19" i="2"/>
  <c r="T168" i="2"/>
  <c r="T23" i="2"/>
  <c r="T97" i="2"/>
  <c r="T58" i="2"/>
  <c r="T188" i="2"/>
  <c r="T154" i="2"/>
  <c r="T219" i="2"/>
  <c r="T90" i="2"/>
  <c r="T236" i="2"/>
  <c r="T116" i="2"/>
  <c r="T128" i="2"/>
  <c r="T238" i="2"/>
  <c r="T161" i="2"/>
  <c r="T172" i="2"/>
  <c r="T126" i="2"/>
  <c r="T175" i="2"/>
  <c r="T158" i="2"/>
  <c r="T95" i="2"/>
  <c r="T73" i="2"/>
  <c r="T201" i="2"/>
  <c r="T33" i="2"/>
  <c r="T30" i="2" l="1"/>
  <c r="T35" i="2"/>
  <c r="T88" i="2"/>
  <c r="T111" i="2"/>
  <c r="T87" i="2"/>
  <c r="T119" i="2"/>
  <c r="T260" i="2"/>
  <c r="E6" i="3"/>
  <c r="E7" i="3" s="1"/>
  <c r="E8" i="3" s="1"/>
  <c r="I15" i="3" s="1"/>
  <c r="I19" i="3" s="1"/>
  <c r="I20" i="3" s="1"/>
  <c r="F19" i="3"/>
  <c r="F20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4CCDBB-9DF4-B747-BFEB-FE22E3EB96F2}" name="S&amp;P 500 Historical Data" type="6" refreshedVersion="8" background="1" saveData="1">
    <textPr codePage="65001" sourceFile="/Users/luigipietroborghetti/Downloads/S&amp;P 500 Historical Data.csv" comma="1">
      <textFields count="7">
        <textField type="MD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<sst xmlns="http://schemas.openxmlformats.org/spreadsheetml/2006/main" count="139" uniqueCount="115">
  <si>
    <t>Sheet</t>
  </si>
  <si>
    <t>Contents</t>
  </si>
  <si>
    <t>Issue log</t>
  </si>
  <si>
    <t>Provides the data required to give an example of using the Merton model to estimate default (as discussed in Lecture 3)</t>
  </si>
  <si>
    <t>Provides an example of using the Merton model to estimate default (as discussed in Lecture 3)</t>
  </si>
  <si>
    <t>Date</t>
  </si>
  <si>
    <t>Market equity</t>
  </si>
  <si>
    <t>Book liabilities</t>
  </si>
  <si>
    <t>Asset values (1)</t>
  </si>
  <si>
    <t>Asset values (2)</t>
  </si>
  <si>
    <t>Asset volatility</t>
  </si>
  <si>
    <t>SSE</t>
  </si>
  <si>
    <t>Ln (returns)</t>
  </si>
  <si>
    <t>Risk free rate</t>
  </si>
  <si>
    <t>S&amp;P 500</t>
  </si>
  <si>
    <t>Risk free rate of return</t>
  </si>
  <si>
    <t>Asset value excess returns</t>
  </si>
  <si>
    <t>S&amp;P 500 excess returns</t>
  </si>
  <si>
    <t>1.   CAPM calculations</t>
  </si>
  <si>
    <t>Beta</t>
  </si>
  <si>
    <t>Expected asset return</t>
  </si>
  <si>
    <t>Drift rate</t>
  </si>
  <si>
    <t xml:space="preserve">2.   Implied default probability </t>
  </si>
  <si>
    <t>Estimates</t>
  </si>
  <si>
    <t>Balance sheet data</t>
  </si>
  <si>
    <t>Default probability calculations</t>
  </si>
  <si>
    <t>Distance to default</t>
  </si>
  <si>
    <t>Default probability</t>
  </si>
  <si>
    <t>Asset drift rate</t>
  </si>
  <si>
    <t xml:space="preserve">Asset value </t>
  </si>
  <si>
    <t>Liabilities</t>
  </si>
  <si>
    <t>Closing price ($)</t>
  </si>
  <si>
    <t>Daily return</t>
  </si>
  <si>
    <t>3.   Calibration of the Merton model</t>
  </si>
  <si>
    <t>Volatility (p.a.)</t>
  </si>
  <si>
    <t>Equity value</t>
  </si>
  <si>
    <t>Equity volatility</t>
  </si>
  <si>
    <t>Horizon</t>
  </si>
  <si>
    <t>Data/assumption</t>
  </si>
  <si>
    <t>Asset Value</t>
  </si>
  <si>
    <t>Asset Volatility</t>
  </si>
  <si>
    <t>Unknowns</t>
  </si>
  <si>
    <t>Initial value = F27 + F29</t>
  </si>
  <si>
    <t>Initial value = F28*F27/F33</t>
  </si>
  <si>
    <t>Model Values from Black-Scholes formulae</t>
  </si>
  <si>
    <r>
      <t>d</t>
    </r>
    <r>
      <rPr>
        <vertAlign val="subscript"/>
        <sz val="10"/>
        <color theme="4" tint="-0.499984740745262"/>
        <rFont val="Arial"/>
        <family val="2"/>
      </rPr>
      <t>1</t>
    </r>
  </si>
  <si>
    <r>
      <t>d</t>
    </r>
    <r>
      <rPr>
        <vertAlign val="subscript"/>
        <sz val="10"/>
        <color theme="4" tint="-0.499984740745262"/>
        <rFont val="Arial"/>
        <family val="2"/>
      </rPr>
      <t>2</t>
    </r>
  </si>
  <si>
    <t>Deviation</t>
  </si>
  <si>
    <t>4.   Calibration of the multi-period model to equity value and volatility</t>
  </si>
  <si>
    <t>Coupon rate</t>
  </si>
  <si>
    <t>Dividend</t>
  </si>
  <si>
    <t>Dividend growth</t>
  </si>
  <si>
    <t>Accrued int.</t>
  </si>
  <si>
    <t>Accrued div.</t>
  </si>
  <si>
    <t>Year</t>
  </si>
  <si>
    <t>Value of payouts at T = Duration</t>
  </si>
  <si>
    <t>Initial value = F46 + F48</t>
  </si>
  <si>
    <t>Initial value = F47*F46/F58</t>
  </si>
  <si>
    <t>d1</t>
  </si>
  <si>
    <t>d2</t>
  </si>
  <si>
    <t>k1</t>
  </si>
  <si>
    <t>k2</t>
  </si>
  <si>
    <t>Use solver to set F68 = MIN by changing cells F58 and F59</t>
  </si>
  <si>
    <t>Use solver to set F41 = MIN by changing cells F33 and F34</t>
  </si>
  <si>
    <t>Probability of default</t>
  </si>
  <si>
    <t>Yield</t>
  </si>
  <si>
    <t>Spread</t>
  </si>
  <si>
    <t>5.   CreditGrade model</t>
  </si>
  <si>
    <t>Global recovery</t>
  </si>
  <si>
    <t>Time</t>
  </si>
  <si>
    <t>Parameters</t>
  </si>
  <si>
    <t>Volatility barrier</t>
  </si>
  <si>
    <t>Short Term Borrowings</t>
  </si>
  <si>
    <t>Long Term Borrowings</t>
  </si>
  <si>
    <t>Other Short Term Liab.</t>
  </si>
  <si>
    <t>Other Long Term Liab.</t>
  </si>
  <si>
    <t>Prefered Equity</t>
  </si>
  <si>
    <t>Minority Interest</t>
  </si>
  <si>
    <t>Financial Debt</t>
  </si>
  <si>
    <t>Debt</t>
  </si>
  <si>
    <t>Hist. Vola (200D)</t>
  </si>
  <si>
    <t>ATM impl. Vola</t>
  </si>
  <si>
    <t>Used vola</t>
  </si>
  <si>
    <t>Balance sheet</t>
  </si>
  <si>
    <t>Market</t>
  </si>
  <si>
    <t>Debt-per-share</t>
  </si>
  <si>
    <t>Market Cap (in MM)</t>
  </si>
  <si>
    <t>Stock Price</t>
  </si>
  <si>
    <t>Common Shares (in MM)</t>
  </si>
  <si>
    <t>Prefered Shares</t>
  </si>
  <si>
    <t>Shares</t>
  </si>
  <si>
    <t>Risk-free rate over</t>
  </si>
  <si>
    <t>Asset value</t>
  </si>
  <si>
    <t>d</t>
  </si>
  <si>
    <t>alpha</t>
  </si>
  <si>
    <t>Prob(Survival)</t>
  </si>
  <si>
    <t>Probability of Default</t>
  </si>
  <si>
    <t>CreditGrade calculations</t>
  </si>
  <si>
    <t>Dividends</t>
  </si>
  <si>
    <t>Interest</t>
  </si>
  <si>
    <t>"Asset value (1)" in "Lecture 4 - Data" needs to be set as "Market equity + Book liabilities" before the iterative VBA is run</t>
  </si>
  <si>
    <t>LECTURE 3 - THE MERTON MODEL</t>
  </si>
  <si>
    <t>Lecture 3 - Data</t>
  </si>
  <si>
    <t>Lecture 3 - Analysis</t>
  </si>
  <si>
    <t>LECTURE 3 (DATA) - THE MERTON MODEL</t>
  </si>
  <si>
    <t>LECTURE 3 (ANALYSIS) - THE MERTON MODEL</t>
  </si>
  <si>
    <t>liabilities</t>
  </si>
  <si>
    <t>mrkt equity</t>
  </si>
  <si>
    <t>share</t>
  </si>
  <si>
    <t>price</t>
  </si>
  <si>
    <t>Exchange Date</t>
  </si>
  <si>
    <t>mkt equity</t>
  </si>
  <si>
    <t>Netflix</t>
  </si>
  <si>
    <t>Price</t>
  </si>
  <si>
    <t>Starbucks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</si>
</sst>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(* #,##0.00_);_(* \(#,##0.00\);_(* &quot;-&quot;??_);_(@_)"/>
    <numFmt numFmtId="164" formatCode="_-* #,##0.00_-;\-* #,##0.00_-;_-* &quot;-&quot;??_-;_-@_-"/>
    <numFmt numFmtId="165" formatCode="0.0%"/>
    <numFmt numFmtId="166" formatCode="dd/mm/yy;@"/>
    <numFmt numFmtId="167" formatCode="0.000"/>
    <numFmt numFmtId="168" formatCode="0.000%"/>
    <numFmt numFmtId="169" formatCode="_-* #,##0_-;\-* #,##0_-;_-* &quot;-&quot;??_-;_-@_-"/>
    <numFmt numFmtId="170" formatCode="#,##0.00;\-#,##0.00;#,##0.00;&quot;--&quot;"/>
    <numFmt numFmtId="171" formatCode="dd/mm/yyyy;@"/>
  </numFmts>
  <fonts count="12" x14ac:knownFonts="1">
    <font>
      <sz val="11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vertAlign val="subscript"/>
      <sz val="10"/>
      <color theme="4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6A6A6"/>
        <bgColor rgb="FFA6A6A6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" fillId="0" borderId="0" applyNumberFormat="0" applyBorder="0" applyAlignment="0"/>
  </cellStyleXfs>
  <cellXfs count="12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1" fontId="2" fillId="2" borderId="5" xfId="0" applyNumberFormat="1" applyFont="1" applyFill="1" applyBorder="1"/>
    <xf numFmtId="165" fontId="2" fillId="2" borderId="6" xfId="0" applyNumberFormat="1" applyFont="1" applyFill="1" applyBorder="1" applyAlignment="1">
      <alignment horizontal="center"/>
    </xf>
    <xf numFmtId="1" fontId="2" fillId="2" borderId="0" xfId="0" applyNumberFormat="1" applyFont="1" applyFill="1"/>
    <xf numFmtId="165" fontId="2" fillId="2" borderId="8" xfId="0" applyNumberFormat="1" applyFont="1" applyFill="1" applyBorder="1" applyAlignment="1">
      <alignment horizontal="center"/>
    </xf>
    <xf numFmtId="1" fontId="2" fillId="2" borderId="10" xfId="0" applyNumberFormat="1" applyFont="1" applyFill="1" applyBorder="1"/>
    <xf numFmtId="165" fontId="2" fillId="2" borderId="11" xfId="0" applyNumberFormat="1" applyFont="1" applyFill="1" applyBorder="1" applyAlignment="1">
      <alignment horizontal="center"/>
    </xf>
    <xf numFmtId="166" fontId="2" fillId="2" borderId="4" xfId="0" applyNumberFormat="1" applyFont="1" applyFill="1" applyBorder="1"/>
    <xf numFmtId="166" fontId="2" fillId="2" borderId="7" xfId="0" applyNumberFormat="1" applyFont="1" applyFill="1" applyBorder="1"/>
    <xf numFmtId="166" fontId="2" fillId="2" borderId="9" xfId="0" applyNumberFormat="1" applyFont="1" applyFill="1" applyBorder="1"/>
    <xf numFmtId="0" fontId="4" fillId="3" borderId="4" xfId="0" applyFont="1" applyFill="1" applyBorder="1" applyAlignment="1">
      <alignment horizontal="left"/>
    </xf>
    <xf numFmtId="0" fontId="2" fillId="3" borderId="6" xfId="0" applyFont="1" applyFill="1" applyBorder="1"/>
    <xf numFmtId="0" fontId="4" fillId="3" borderId="9" xfId="0" applyFont="1" applyFill="1" applyBorder="1" applyAlignment="1">
      <alignment horizontal="left"/>
    </xf>
    <xf numFmtId="0" fontId="2" fillId="3" borderId="11" xfId="0" applyFont="1" applyFill="1" applyBorder="1"/>
    <xf numFmtId="0" fontId="2" fillId="2" borderId="14" xfId="0" applyFont="1" applyFill="1" applyBorder="1"/>
    <xf numFmtId="10" fontId="2" fillId="2" borderId="13" xfId="2" applyNumberFormat="1" applyFont="1" applyFill="1" applyBorder="1"/>
    <xf numFmtId="10" fontId="2" fillId="2" borderId="13" xfId="2" applyNumberFormat="1" applyFont="1" applyFill="1" applyBorder="1" applyAlignment="1">
      <alignment horizontal="center"/>
    </xf>
    <xf numFmtId="3" fontId="2" fillId="2" borderId="7" xfId="0" applyNumberFormat="1" applyFont="1" applyFill="1" applyBorder="1"/>
    <xf numFmtId="3" fontId="2" fillId="2" borderId="0" xfId="0" applyNumberFormat="1" applyFont="1" applyFill="1"/>
    <xf numFmtId="10" fontId="2" fillId="2" borderId="8" xfId="2" applyNumberFormat="1" applyFont="1" applyFill="1" applyBorder="1" applyAlignment="1">
      <alignment horizontal="center"/>
    </xf>
    <xf numFmtId="3" fontId="2" fillId="2" borderId="9" xfId="0" applyNumberFormat="1" applyFont="1" applyFill="1" applyBorder="1"/>
    <xf numFmtId="3" fontId="2" fillId="2" borderId="10" xfId="0" applyNumberFormat="1" applyFont="1" applyFill="1" applyBorder="1"/>
    <xf numFmtId="10" fontId="2" fillId="2" borderId="11" xfId="2" applyNumberFormat="1" applyFont="1" applyFill="1" applyBorder="1" applyAlignment="1">
      <alignment horizontal="center"/>
    </xf>
    <xf numFmtId="11" fontId="2" fillId="2" borderId="14" xfId="0" applyNumberFormat="1" applyFont="1" applyFill="1" applyBorder="1"/>
    <xf numFmtId="2" fontId="2" fillId="2" borderId="0" xfId="0" applyNumberFormat="1" applyFont="1" applyFill="1"/>
    <xf numFmtId="0" fontId="2" fillId="2" borderId="10" xfId="0" applyFont="1" applyFill="1" applyBorder="1"/>
    <xf numFmtId="10" fontId="2" fillId="2" borderId="8" xfId="0" applyNumberFormat="1" applyFont="1" applyFill="1" applyBorder="1" applyAlignment="1">
      <alignment horizontal="center"/>
    </xf>
    <xf numFmtId="10" fontId="2" fillId="2" borderId="11" xfId="0" applyNumberFormat="1" applyFon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10" fontId="2" fillId="2" borderId="7" xfId="2" applyNumberFormat="1" applyFont="1" applyFill="1" applyBorder="1" applyAlignment="1">
      <alignment horizontal="center"/>
    </xf>
    <xf numFmtId="10" fontId="2" fillId="2" borderId="9" xfId="2" applyNumberFormat="1" applyFont="1" applyFill="1" applyBorder="1" applyAlignment="1">
      <alignment horizontal="center"/>
    </xf>
    <xf numFmtId="0" fontId="6" fillId="2" borderId="0" xfId="0" applyFont="1" applyFill="1"/>
    <xf numFmtId="0" fontId="4" fillId="3" borderId="13" xfId="0" applyFont="1" applyFill="1" applyBorder="1"/>
    <xf numFmtId="0" fontId="4" fillId="3" borderId="15" xfId="0" applyFont="1" applyFill="1" applyBorder="1"/>
    <xf numFmtId="0" fontId="4" fillId="3" borderId="14" xfId="0" applyFont="1" applyFill="1" applyBorder="1"/>
    <xf numFmtId="167" fontId="2" fillId="2" borderId="6" xfId="0" applyNumberFormat="1" applyFont="1" applyFill="1" applyBorder="1"/>
    <xf numFmtId="167" fontId="2" fillId="2" borderId="8" xfId="0" applyNumberFormat="1" applyFont="1" applyFill="1" applyBorder="1"/>
    <xf numFmtId="165" fontId="2" fillId="2" borderId="11" xfId="2" applyNumberFormat="1" applyFont="1" applyFill="1" applyBorder="1"/>
    <xf numFmtId="3" fontId="2" fillId="2" borderId="5" xfId="0" applyNumberFormat="1" applyFont="1" applyFill="1" applyBorder="1"/>
    <xf numFmtId="0" fontId="4" fillId="3" borderId="6" xfId="0" applyFont="1" applyFill="1" applyBorder="1"/>
    <xf numFmtId="0" fontId="4" fillId="3" borderId="8" xfId="0" applyFont="1" applyFill="1" applyBorder="1"/>
    <xf numFmtId="0" fontId="4" fillId="3" borderId="11" xfId="0" applyFont="1" applyFill="1" applyBorder="1"/>
    <xf numFmtId="0" fontId="4" fillId="3" borderId="3" xfId="0" applyFont="1" applyFill="1" applyBorder="1"/>
    <xf numFmtId="0" fontId="4" fillId="3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3" fontId="2" fillId="2" borderId="13" xfId="0" applyNumberFormat="1" applyFont="1" applyFill="1" applyBorder="1"/>
    <xf numFmtId="10" fontId="2" fillId="2" borderId="15" xfId="0" applyNumberFormat="1" applyFont="1" applyFill="1" applyBorder="1"/>
    <xf numFmtId="165" fontId="2" fillId="2" borderId="14" xfId="2" applyNumberFormat="1" applyFont="1" applyFill="1" applyBorder="1"/>
    <xf numFmtId="3" fontId="2" fillId="2" borderId="12" xfId="0" applyNumberFormat="1" applyFont="1" applyFill="1" applyBorder="1"/>
    <xf numFmtId="2" fontId="2" fillId="2" borderId="13" xfId="0" applyNumberFormat="1" applyFont="1" applyFill="1" applyBorder="1"/>
    <xf numFmtId="10" fontId="2" fillId="2" borderId="14" xfId="2" applyNumberFormat="1" applyFont="1" applyFill="1" applyBorder="1"/>
    <xf numFmtId="0" fontId="4" fillId="3" borderId="2" xfId="0" applyFont="1" applyFill="1" applyBorder="1" applyAlignment="1">
      <alignment horizontal="left"/>
    </xf>
    <xf numFmtId="0" fontId="2" fillId="2" borderId="7" xfId="0" applyFont="1" applyFill="1" applyBorder="1"/>
    <xf numFmtId="10" fontId="2" fillId="2" borderId="8" xfId="2" applyNumberFormat="1" applyFont="1" applyFill="1" applyBorder="1"/>
    <xf numFmtId="0" fontId="2" fillId="2" borderId="9" xfId="0" applyFont="1" applyFill="1" applyBorder="1"/>
    <xf numFmtId="10" fontId="2" fillId="2" borderId="11" xfId="2" applyNumberFormat="1" applyFont="1" applyFill="1" applyBorder="1"/>
    <xf numFmtId="10" fontId="2" fillId="2" borderId="12" xfId="2" applyNumberFormat="1" applyFont="1" applyFill="1" applyBorder="1"/>
    <xf numFmtId="0" fontId="2" fillId="2" borderId="15" xfId="0" applyFont="1" applyFill="1" applyBorder="1"/>
    <xf numFmtId="3" fontId="2" fillId="2" borderId="15" xfId="0" applyNumberFormat="1" applyFont="1" applyFill="1" applyBorder="1"/>
    <xf numFmtId="165" fontId="2" fillId="2" borderId="15" xfId="2" applyNumberFormat="1" applyFont="1" applyFill="1" applyBorder="1"/>
    <xf numFmtId="2" fontId="2" fillId="2" borderId="15" xfId="0" applyNumberFormat="1" applyFont="1" applyFill="1" applyBorder="1"/>
    <xf numFmtId="169" fontId="2" fillId="2" borderId="15" xfId="1" applyNumberFormat="1" applyFont="1" applyFill="1" applyBorder="1"/>
    <xf numFmtId="2" fontId="2" fillId="2" borderId="12" xfId="0" applyNumberFormat="1" applyFont="1" applyFill="1" applyBorder="1"/>
    <xf numFmtId="169" fontId="2" fillId="2" borderId="13" xfId="0" applyNumberFormat="1" applyFont="1" applyFill="1" applyBorder="1"/>
    <xf numFmtId="10" fontId="2" fillId="2" borderId="15" xfId="2" applyNumberFormat="1" applyFont="1" applyFill="1" applyBorder="1"/>
    <xf numFmtId="9" fontId="2" fillId="2" borderId="15" xfId="0" applyNumberFormat="1" applyFont="1" applyFill="1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" fontId="2" fillId="2" borderId="5" xfId="0" applyNumberFormat="1" applyFont="1" applyFill="1" applyBorder="1" applyAlignment="1">
      <alignment horizontal="center"/>
    </xf>
    <xf numFmtId="1" fontId="2" fillId="2" borderId="6" xfId="0" applyNumberFormat="1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1" fontId="2" fillId="2" borderId="10" xfId="0" applyNumberFormat="1" applyFont="1" applyFill="1" applyBorder="1" applyAlignment="1">
      <alignment horizontal="center"/>
    </xf>
    <xf numFmtId="1" fontId="2" fillId="2" borderId="11" xfId="0" applyNumberFormat="1" applyFont="1" applyFill="1" applyBorder="1" applyAlignment="1">
      <alignment horizontal="center"/>
    </xf>
    <xf numFmtId="169" fontId="2" fillId="2" borderId="14" xfId="1" applyNumberFormat="1" applyFont="1" applyFill="1" applyBorder="1"/>
    <xf numFmtId="10" fontId="2" fillId="2" borderId="14" xfId="0" applyNumberFormat="1" applyFont="1" applyFill="1" applyBorder="1"/>
    <xf numFmtId="9" fontId="2" fillId="2" borderId="13" xfId="0" applyNumberFormat="1" applyFont="1" applyFill="1" applyBorder="1"/>
    <xf numFmtId="43" fontId="2" fillId="2" borderId="13" xfId="0" applyNumberFormat="1" applyFont="1" applyFill="1" applyBorder="1"/>
    <xf numFmtId="43" fontId="2" fillId="2" borderId="15" xfId="0" applyNumberFormat="1" applyFont="1" applyFill="1" applyBorder="1"/>
    <xf numFmtId="164" fontId="2" fillId="2" borderId="15" xfId="0" applyNumberFormat="1" applyFont="1" applyFill="1" applyBorder="1"/>
    <xf numFmtId="2" fontId="2" fillId="2" borderId="14" xfId="0" applyNumberFormat="1" applyFont="1" applyFill="1" applyBorder="1"/>
    <xf numFmtId="168" fontId="2" fillId="2" borderId="15" xfId="2" applyNumberFormat="1" applyFont="1" applyFill="1" applyBorder="1"/>
    <xf numFmtId="168" fontId="2" fillId="2" borderId="14" xfId="0" applyNumberFormat="1" applyFont="1" applyFill="1" applyBorder="1"/>
    <xf numFmtId="165" fontId="2" fillId="2" borderId="14" xfId="0" applyNumberFormat="1" applyFont="1" applyFill="1" applyBorder="1"/>
    <xf numFmtId="169" fontId="2" fillId="2" borderId="0" xfId="1" applyNumberFormat="1" applyFont="1" applyFill="1"/>
    <xf numFmtId="170" fontId="10" fillId="0" borderId="16" xfId="3" applyNumberFormat="1" applyFont="1" applyBorder="1"/>
    <xf numFmtId="14" fontId="0" fillId="0" borderId="0" xfId="0" applyNumberFormat="1"/>
    <xf numFmtId="3" fontId="0" fillId="0" borderId="0" xfId="0" applyNumberFormat="1"/>
    <xf numFmtId="0" fontId="11" fillId="4" borderId="17" xfId="3" applyFont="1" applyFill="1" applyBorder="1" applyAlignment="1">
      <alignment horizontal="right"/>
    </xf>
    <xf numFmtId="0" fontId="9" fillId="0" borderId="0" xfId="3"/>
    <xf numFmtId="0" fontId="11" fillId="0" borderId="0" xfId="3" applyFont="1"/>
    <xf numFmtId="0" fontId="8" fillId="0" borderId="0" xfId="0" applyFont="1"/>
    <xf numFmtId="4" fontId="0" fillId="0" borderId="0" xfId="0" applyNumberFormat="1"/>
    <xf numFmtId="171" fontId="10" fillId="0" borderId="16" xfId="3" applyNumberFormat="1" applyFont="1" applyBorder="1"/>
    <xf numFmtId="0" fontId="4" fillId="3" borderId="4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 textRotation="90"/>
    </xf>
    <xf numFmtId="0" fontId="2" fillId="2" borderId="7" xfId="0" applyFont="1" applyFill="1" applyBorder="1" applyAlignment="1">
      <alignment horizontal="center" vertical="center" textRotation="90"/>
    </xf>
    <xf numFmtId="0" fontId="2" fillId="2" borderId="9" xfId="0" applyFont="1" applyFill="1" applyBorder="1" applyAlignment="1">
      <alignment horizontal="center" vertical="center" textRotation="90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Normal" xfId="0" builtinId="0"/>
    <cellStyle name="Normal 2" xfId="3" xr:uid="{D88450A9-84C8-4120-957E-9C35E5BB0CA0}"/>
    <cellStyle name="Percent" xfId="2" builtinId="5"/>
  </cellStyles>
  <dxfs count="0"/>
  <tableStyles count="1" defaultTableStyle="TableStyleMedium2" defaultPivotStyle="PivotStyleLight16">
    <tableStyle name="Invisible" pivot="0" table="0" count="0" xr9:uid="{6C3EF6EC-3C0D-44EA-BBCA-BEEBDEC65D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&amp;P 500 Historical Data" connectionId="1" xr16:uid="{CC8F3326-B8E4-D443-9F8F-A2D7412B8E5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C2:D10"/>
  <sheetViews>
    <sheetView workbookViewId="0">
      <selection activeCell="H17" sqref="H17"/>
    </sheetView>
  </sheetViews>
  <sheetFormatPr defaultColWidth="9.109375" defaultRowHeight="14.4" x14ac:dyDescent="0.3"/>
  <cols>
    <col min="1" max="2" width="2.88671875" style="2" customWidth="1"/>
    <col min="3" max="3" width="18.109375" style="2" bestFit="1" customWidth="1"/>
    <col min="4" max="16384" width="9.109375" style="2"/>
  </cols>
  <sheetData>
    <row r="2" spans="3:4" ht="23.4" x14ac:dyDescent="0.45">
      <c r="C2" s="1" t="s">
        <v>101</v>
      </c>
    </row>
    <row r="4" spans="3:4" ht="15.6" x14ac:dyDescent="0.3">
      <c r="C4" s="3" t="s">
        <v>0</v>
      </c>
      <c r="D4" s="3" t="s">
        <v>1</v>
      </c>
    </row>
    <row r="5" spans="3:4" x14ac:dyDescent="0.3">
      <c r="C5" s="2" t="s">
        <v>102</v>
      </c>
      <c r="D5" s="2" t="s">
        <v>3</v>
      </c>
    </row>
    <row r="6" spans="3:4" x14ac:dyDescent="0.3">
      <c r="C6" s="2" t="s">
        <v>103</v>
      </c>
      <c r="D6" s="2" t="s">
        <v>4</v>
      </c>
    </row>
    <row r="9" spans="3:4" ht="15.6" x14ac:dyDescent="0.3">
      <c r="C9" s="3" t="s">
        <v>2</v>
      </c>
    </row>
    <row r="10" spans="3:4" x14ac:dyDescent="0.3">
      <c r="C10" s="2" t="s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</sheetPr>
  <dimension ref="C1:X266"/>
  <sheetViews>
    <sheetView tabSelected="1" topLeftCell="K1" workbookViewId="0">
      <selection activeCell="I266" sqref="I266"/>
    </sheetView>
  </sheetViews>
  <sheetFormatPr defaultColWidth="9.109375" defaultRowHeight="14.4" x14ac:dyDescent="0.3"/>
  <cols>
    <col min="1" max="2" width="2.88671875" style="2" customWidth="1"/>
    <col min="3" max="3" width="9.109375" style="2"/>
    <col min="4" max="4" width="13.6640625" style="2" bestFit="1" customWidth="1"/>
    <col min="5" max="5" width="14.33203125" style="2" bestFit="1" customWidth="1"/>
    <col min="6" max="6" width="17.6640625" style="2" bestFit="1" customWidth="1"/>
    <col min="7" max="7" width="9.109375" style="2"/>
    <col min="8" max="9" width="15" style="2" bestFit="1" customWidth="1"/>
    <col min="10" max="10" width="12.33203125" style="2" bestFit="1" customWidth="1"/>
    <col min="11" max="13" width="9.109375" style="2"/>
    <col min="14" max="14" width="11" style="2" bestFit="1" customWidth="1"/>
    <col min="15" max="15" width="9.109375" style="2"/>
    <col min="16" max="16" width="15" style="2" bestFit="1" customWidth="1"/>
    <col min="17" max="17" width="15" style="2" customWidth="1"/>
    <col min="18" max="18" width="21.44140625" style="2" bestFit="1" customWidth="1"/>
    <col min="19" max="19" width="9.109375" style="2"/>
    <col min="20" max="20" width="24.6640625" style="2" bestFit="1" customWidth="1"/>
    <col min="21" max="21" width="21.6640625" style="2" bestFit="1" customWidth="1"/>
    <col min="22" max="22" width="9.109375" style="2"/>
    <col min="23" max="23" width="15.33203125" style="2" bestFit="1" customWidth="1"/>
    <col min="24" max="24" width="11.44140625" style="2" bestFit="1" customWidth="1"/>
    <col min="25" max="16384" width="9.109375" style="2"/>
  </cols>
  <sheetData>
    <row r="1" spans="3:24" s="5" customFormat="1" x14ac:dyDescent="0.3">
      <c r="C1" s="4"/>
      <c r="D1" s="4"/>
      <c r="E1" s="4"/>
      <c r="F1" s="4"/>
      <c r="G1" s="4"/>
      <c r="H1" s="4"/>
    </row>
    <row r="2" spans="3:24" s="5" customFormat="1" ht="23.4" x14ac:dyDescent="0.45">
      <c r="C2" s="1" t="s">
        <v>104</v>
      </c>
      <c r="D2" s="4"/>
      <c r="E2" s="4"/>
      <c r="F2" s="4"/>
      <c r="G2" s="4"/>
      <c r="H2" s="4"/>
      <c r="P2" s="1"/>
    </row>
    <row r="3" spans="3:24" s="5" customFormat="1" ht="7.5" customHeight="1" x14ac:dyDescent="0.3">
      <c r="C3" s="4"/>
      <c r="D3" s="4"/>
      <c r="E3" s="4"/>
      <c r="F3" s="4"/>
      <c r="G3" s="4"/>
      <c r="H3" s="4"/>
    </row>
    <row r="4" spans="3:24" x14ac:dyDescent="0.3">
      <c r="C4" s="7" t="s">
        <v>5</v>
      </c>
      <c r="D4" s="6" t="s">
        <v>6</v>
      </c>
      <c r="E4" s="6" t="s">
        <v>7</v>
      </c>
      <c r="F4" s="8" t="s">
        <v>13</v>
      </c>
      <c r="H4" s="52" t="s">
        <v>8</v>
      </c>
      <c r="I4" s="6" t="s">
        <v>9</v>
      </c>
      <c r="J4" s="8" t="s">
        <v>12</v>
      </c>
      <c r="L4" s="18" t="s">
        <v>10</v>
      </c>
      <c r="M4" s="19"/>
      <c r="N4" s="24">
        <f>STDEV(J6:J266)*260^0.5</f>
        <v>0.28415575349938976</v>
      </c>
      <c r="P4" s="7" t="str">
        <f>+I4</f>
        <v>Asset values (2)</v>
      </c>
      <c r="Q4" s="6" t="s">
        <v>14</v>
      </c>
      <c r="R4" s="8" t="s">
        <v>15</v>
      </c>
      <c r="T4" s="7" t="s">
        <v>16</v>
      </c>
      <c r="U4" s="8" t="s">
        <v>17</v>
      </c>
      <c r="W4" s="61" t="s">
        <v>31</v>
      </c>
      <c r="X4" s="8" t="s">
        <v>32</v>
      </c>
    </row>
    <row r="5" spans="3:24" x14ac:dyDescent="0.3">
      <c r="C5" s="15">
        <v>36769</v>
      </c>
      <c r="D5" s="9">
        <v>62715.57</v>
      </c>
      <c r="E5" s="9">
        <v>34797</v>
      </c>
      <c r="F5" s="10">
        <v>5.9965581167434133E-2</v>
      </c>
      <c r="H5" s="26">
        <v>95486.965471166797</v>
      </c>
      <c r="I5" s="47">
        <f t="shared" ref="I5:I68" si="0">(D5+E5*EXP(-F5*1)*NORMSDIST(Bsd(H5,E5,1,F5,N$4)-N$4))/NORMSDIST(Bsd(H5,E5,1,F5,N$4))</f>
        <v>95486.965471165575</v>
      </c>
      <c r="J5" s="37"/>
      <c r="L5" s="20" t="s">
        <v>11</v>
      </c>
      <c r="M5" s="21"/>
      <c r="N5" s="31">
        <f>+SUMXMY2(H5:H266,I5:I266)</f>
        <v>1.3542534110596544E-11</v>
      </c>
      <c r="P5" s="25">
        <f>+I5</f>
        <v>95486.965471165575</v>
      </c>
      <c r="Q5" s="32">
        <v>1517.68</v>
      </c>
      <c r="R5" s="34">
        <f>+EXP(F5)-1</f>
        <v>6.1800000000000077E-2</v>
      </c>
      <c r="T5" s="36"/>
      <c r="U5" s="37"/>
      <c r="W5" s="36">
        <v>84.88</v>
      </c>
      <c r="X5" s="37"/>
    </row>
    <row r="6" spans="3:24" x14ac:dyDescent="0.3">
      <c r="C6" s="16">
        <v>36770</v>
      </c>
      <c r="D6" s="11">
        <v>63038.83</v>
      </c>
      <c r="E6" s="11">
        <v>34797</v>
      </c>
      <c r="F6" s="12">
        <v>6.0436368803830708E-2</v>
      </c>
      <c r="H6" s="26">
        <v>95794.816876995304</v>
      </c>
      <c r="I6" s="26">
        <f t="shared" si="0"/>
        <v>95794.816876994126</v>
      </c>
      <c r="J6" s="27">
        <f>LN(H6/H5)</f>
        <v>3.2188289741943879E-3</v>
      </c>
      <c r="P6" s="25">
        <f t="shared" ref="P6:P69" si="1">+I6</f>
        <v>95794.816876994126</v>
      </c>
      <c r="Q6" s="32">
        <v>1520.77</v>
      </c>
      <c r="R6" s="34">
        <f t="shared" ref="R6:R69" si="2">+EXP(F6)-1</f>
        <v>6.2300000000000022E-2</v>
      </c>
      <c r="T6" s="38">
        <f>+P6/P5-(1+$R5/260)</f>
        <v>2.9863226592667935E-3</v>
      </c>
      <c r="U6" s="27">
        <f>+Q6/Q5-(1+$R5/260)</f>
        <v>1.7983100116372164E-3</v>
      </c>
      <c r="W6" s="62">
        <v>85.31</v>
      </c>
      <c r="X6" s="63">
        <f>+LN(W6/W5)</f>
        <v>5.0531866148758329E-3</v>
      </c>
    </row>
    <row r="7" spans="3:24" x14ac:dyDescent="0.3">
      <c r="C7" s="16">
        <v>36773</v>
      </c>
      <c r="D7" s="11">
        <v>63038.83</v>
      </c>
      <c r="E7" s="11">
        <v>34797</v>
      </c>
      <c r="F7" s="12">
        <v>6.0201002690756886E-2</v>
      </c>
      <c r="H7" s="26">
        <v>95802.526772016849</v>
      </c>
      <c r="I7" s="26">
        <f t="shared" si="0"/>
        <v>95802.526772015684</v>
      </c>
      <c r="J7" s="27">
        <f t="shared" ref="J7:J70" si="3">LN(H7/H6)</f>
        <v>8.0480187030459657E-5</v>
      </c>
      <c r="P7" s="25">
        <f t="shared" si="1"/>
        <v>95802.526772015684</v>
      </c>
      <c r="Q7" s="32">
        <v>1520.77</v>
      </c>
      <c r="R7" s="34">
        <f t="shared" si="2"/>
        <v>6.2049999999999939E-2</v>
      </c>
      <c r="T7" s="38">
        <f t="shared" ref="T7:T70" si="4">+P7/P6-(1+$R6/260)</f>
        <v>-1.5913195896755106E-4</v>
      </c>
      <c r="U7" s="27">
        <f t="shared" ref="U7:U70" si="5">+Q7/Q6-(1+$R6/260)</f>
        <v>-2.3961538461536591E-4</v>
      </c>
      <c r="W7" s="62">
        <v>85.31</v>
      </c>
      <c r="X7" s="63">
        <f t="shared" ref="X7:X70" si="6">+LN(W7/W6)</f>
        <v>0</v>
      </c>
    </row>
    <row r="8" spans="3:24" x14ac:dyDescent="0.3">
      <c r="C8" s="16">
        <v>36774</v>
      </c>
      <c r="D8" s="11">
        <v>63546.82</v>
      </c>
      <c r="E8" s="11">
        <v>34797</v>
      </c>
      <c r="F8" s="12">
        <v>5.9965581167434133E-2</v>
      </c>
      <c r="H8" s="26">
        <v>96318.252167029656</v>
      </c>
      <c r="I8" s="26">
        <f t="shared" si="0"/>
        <v>96318.252167028564</v>
      </c>
      <c r="J8" s="27">
        <f t="shared" si="3"/>
        <v>5.3687751696795969E-3</v>
      </c>
      <c r="L8" s="40"/>
      <c r="P8" s="25">
        <f t="shared" si="1"/>
        <v>96318.252167028564</v>
      </c>
      <c r="Q8" s="32">
        <v>1507.08</v>
      </c>
      <c r="R8" s="34">
        <f t="shared" si="2"/>
        <v>6.1800000000000077E-2</v>
      </c>
      <c r="T8" s="38">
        <f t="shared" si="4"/>
        <v>5.1445590229615146E-3</v>
      </c>
      <c r="U8" s="27">
        <f t="shared" si="5"/>
        <v>-9.2406725603578765E-3</v>
      </c>
      <c r="W8" s="62">
        <v>86</v>
      </c>
      <c r="X8" s="63">
        <f t="shared" si="6"/>
        <v>8.0556153329044144E-3</v>
      </c>
    </row>
    <row r="9" spans="3:24" x14ac:dyDescent="0.3">
      <c r="C9" s="16">
        <v>36775</v>
      </c>
      <c r="D9" s="11">
        <v>62346.11</v>
      </c>
      <c r="E9" s="11">
        <v>34797</v>
      </c>
      <c r="F9" s="12">
        <v>6.0059756427662876E-2</v>
      </c>
      <c r="H9" s="26">
        <v>95114.401792346645</v>
      </c>
      <c r="I9" s="26">
        <f t="shared" si="0"/>
        <v>95114.401792345365</v>
      </c>
      <c r="J9" s="27">
        <f t="shared" si="3"/>
        <v>-1.2577438798414237E-2</v>
      </c>
      <c r="P9" s="25">
        <f t="shared" si="1"/>
        <v>95114.401792345365</v>
      </c>
      <c r="Q9" s="32">
        <v>1492.25</v>
      </c>
      <c r="R9" s="34">
        <f t="shared" si="2"/>
        <v>6.1900000000000066E-2</v>
      </c>
      <c r="T9" s="38">
        <f t="shared" si="4"/>
        <v>-1.2736365690963036E-2</v>
      </c>
      <c r="U9" s="27">
        <f t="shared" si="5"/>
        <v>-1.0077913132067851E-2</v>
      </c>
      <c r="W9" s="62">
        <v>84.38</v>
      </c>
      <c r="X9" s="63">
        <f t="shared" si="6"/>
        <v>-1.9016889557315227E-2</v>
      </c>
    </row>
    <row r="10" spans="3:24" x14ac:dyDescent="0.3">
      <c r="C10" s="16">
        <v>36776</v>
      </c>
      <c r="D10" s="11">
        <v>61330.1</v>
      </c>
      <c r="E10" s="11">
        <v>34797</v>
      </c>
      <c r="F10" s="12">
        <v>6.0342229006161763E-2</v>
      </c>
      <c r="H10" s="26">
        <v>94089.083375132541</v>
      </c>
      <c r="I10" s="26">
        <f t="shared" si="0"/>
        <v>94089.083375131086</v>
      </c>
      <c r="J10" s="27">
        <f t="shared" si="3"/>
        <v>-1.0838367520743171E-2</v>
      </c>
      <c r="P10" s="25">
        <f t="shared" si="1"/>
        <v>94089.083375131086</v>
      </c>
      <c r="Q10" s="32">
        <v>1502.51</v>
      </c>
      <c r="R10" s="34">
        <f t="shared" si="2"/>
        <v>6.2200000000000033E-2</v>
      </c>
      <c r="T10" s="38">
        <f t="shared" si="4"/>
        <v>-1.1017920962392513E-2</v>
      </c>
      <c r="U10" s="27">
        <f t="shared" si="5"/>
        <v>6.6374466152041567E-3</v>
      </c>
      <c r="W10" s="62">
        <v>83</v>
      </c>
      <c r="X10" s="63">
        <f t="shared" si="6"/>
        <v>-1.6489798899594687E-2</v>
      </c>
    </row>
    <row r="11" spans="3:24" x14ac:dyDescent="0.3">
      <c r="C11" s="16">
        <v>36777</v>
      </c>
      <c r="D11" s="11">
        <v>62207.55</v>
      </c>
      <c r="E11" s="11">
        <v>34797</v>
      </c>
      <c r="F11" s="12">
        <v>6.0153922819747144E-2</v>
      </c>
      <c r="H11" s="26">
        <v>94972.749606727768</v>
      </c>
      <c r="I11" s="26">
        <f t="shared" si="0"/>
        <v>94972.749606726473</v>
      </c>
      <c r="J11" s="27">
        <f t="shared" si="3"/>
        <v>9.347975237025621E-3</v>
      </c>
      <c r="P11" s="25">
        <f t="shared" si="1"/>
        <v>94972.749606726473</v>
      </c>
      <c r="Q11" s="32">
        <v>1494.5</v>
      </c>
      <c r="R11" s="34">
        <f t="shared" si="2"/>
        <v>6.2000000000000055E-2</v>
      </c>
      <c r="T11" s="38">
        <f t="shared" si="4"/>
        <v>9.1525732519885938E-3</v>
      </c>
      <c r="U11" s="27">
        <f t="shared" si="5"/>
        <v>-5.5703100964897834E-3</v>
      </c>
      <c r="W11" s="62">
        <v>84.19</v>
      </c>
      <c r="X11" s="63">
        <f t="shared" si="6"/>
        <v>1.4235541552974575E-2</v>
      </c>
    </row>
    <row r="12" spans="3:24" x14ac:dyDescent="0.3">
      <c r="C12" s="16">
        <v>36780</v>
      </c>
      <c r="D12" s="11">
        <v>63546.82</v>
      </c>
      <c r="E12" s="11">
        <v>34797</v>
      </c>
      <c r="F12" s="12">
        <v>6.0153922819747144E-2</v>
      </c>
      <c r="H12" s="26">
        <v>96312.081017678647</v>
      </c>
      <c r="I12" s="26">
        <f t="shared" si="0"/>
        <v>96312.081017677556</v>
      </c>
      <c r="J12" s="27">
        <f t="shared" si="3"/>
        <v>1.4003758625306468E-2</v>
      </c>
      <c r="P12" s="25">
        <f t="shared" si="1"/>
        <v>96312.081017677556</v>
      </c>
      <c r="Q12" s="32">
        <v>1489.26</v>
      </c>
      <c r="R12" s="34">
        <f t="shared" si="2"/>
        <v>6.2000000000000055E-2</v>
      </c>
      <c r="T12" s="38">
        <f t="shared" si="4"/>
        <v>1.3863809023327178E-2</v>
      </c>
      <c r="U12" s="27">
        <f t="shared" si="5"/>
        <v>-3.7446508994519734E-3</v>
      </c>
      <c r="W12" s="62">
        <v>86</v>
      </c>
      <c r="X12" s="63">
        <f t="shared" si="6"/>
        <v>2.1271146903935157E-2</v>
      </c>
    </row>
    <row r="13" spans="3:24" x14ac:dyDescent="0.3">
      <c r="C13" s="16">
        <v>36781</v>
      </c>
      <c r="D13" s="11">
        <v>63639.18</v>
      </c>
      <c r="E13" s="11">
        <v>34797</v>
      </c>
      <c r="F13" s="12">
        <v>5.9871397037390417E-2</v>
      </c>
      <c r="H13" s="26">
        <v>96413.702414633444</v>
      </c>
      <c r="I13" s="26">
        <f t="shared" si="0"/>
        <v>96413.702414632382</v>
      </c>
      <c r="J13" s="27">
        <f t="shared" si="3"/>
        <v>1.0545699134066003E-3</v>
      </c>
      <c r="P13" s="25">
        <f t="shared" si="1"/>
        <v>96413.702414632382</v>
      </c>
      <c r="Q13" s="32">
        <v>1481.99</v>
      </c>
      <c r="R13" s="34">
        <f t="shared" si="2"/>
        <v>6.1700000000000088E-2</v>
      </c>
      <c r="T13" s="38">
        <f t="shared" si="4"/>
        <v>8.1666462931551109E-4</v>
      </c>
      <c r="U13" s="27">
        <f t="shared" si="5"/>
        <v>-5.1200805975916142E-3</v>
      </c>
      <c r="W13" s="62">
        <v>86.13</v>
      </c>
      <c r="X13" s="63">
        <f t="shared" si="6"/>
        <v>1.5104865475744763E-3</v>
      </c>
    </row>
    <row r="14" spans="3:24" x14ac:dyDescent="0.3">
      <c r="C14" s="16">
        <v>36782</v>
      </c>
      <c r="D14" s="11">
        <v>63870.11</v>
      </c>
      <c r="E14" s="11">
        <v>34797</v>
      </c>
      <c r="F14" s="12">
        <v>5.9400343281447464E-2</v>
      </c>
      <c r="H14" s="26">
        <v>96660.082701709136</v>
      </c>
      <c r="I14" s="26">
        <f t="shared" si="0"/>
        <v>96660.082701708088</v>
      </c>
      <c r="J14" s="27">
        <f t="shared" si="3"/>
        <v>2.5521892644707776E-3</v>
      </c>
      <c r="P14" s="25">
        <f t="shared" si="1"/>
        <v>96660.082701708088</v>
      </c>
      <c r="Q14" s="32">
        <v>1484.91</v>
      </c>
      <c r="R14" s="34">
        <f t="shared" si="2"/>
        <v>6.1199999999999921E-2</v>
      </c>
      <c r="T14" s="38">
        <f t="shared" si="4"/>
        <v>2.3181411796393547E-3</v>
      </c>
      <c r="U14" s="27">
        <f t="shared" si="5"/>
        <v>1.7330159940869283E-3</v>
      </c>
      <c r="W14" s="62">
        <v>86.44</v>
      </c>
      <c r="X14" s="63">
        <f t="shared" si="6"/>
        <v>3.5927488376030115E-3</v>
      </c>
    </row>
    <row r="15" spans="3:24" x14ac:dyDescent="0.3">
      <c r="C15" s="16">
        <v>36783</v>
      </c>
      <c r="D15" s="11">
        <v>64239.57</v>
      </c>
      <c r="E15" s="11">
        <v>34797</v>
      </c>
      <c r="F15" s="12">
        <v>5.9494571785639667E-2</v>
      </c>
      <c r="H15" s="26">
        <v>97026.467564490435</v>
      </c>
      <c r="I15" s="26">
        <f t="shared" si="0"/>
        <v>97026.467564489445</v>
      </c>
      <c r="J15" s="27">
        <f t="shared" si="3"/>
        <v>3.7832807625486154E-3</v>
      </c>
      <c r="P15" s="25">
        <f t="shared" si="1"/>
        <v>97026.467564489445</v>
      </c>
      <c r="Q15" s="32">
        <v>1480.87</v>
      </c>
      <c r="R15" s="34">
        <f t="shared" si="2"/>
        <v>6.129999999999991E-2</v>
      </c>
      <c r="T15" s="38">
        <f t="shared" si="4"/>
        <v>3.5550617875221846E-3</v>
      </c>
      <c r="U15" s="27">
        <f t="shared" si="5"/>
        <v>-2.9560882270515121E-3</v>
      </c>
      <c r="W15" s="62">
        <v>86.94</v>
      </c>
      <c r="X15" s="63">
        <f t="shared" si="6"/>
        <v>5.7676939219607403E-3</v>
      </c>
    </row>
    <row r="16" spans="3:24" x14ac:dyDescent="0.3">
      <c r="C16" s="16">
        <v>36784</v>
      </c>
      <c r="D16" s="11">
        <v>66086.81</v>
      </c>
      <c r="E16" s="11">
        <v>34797</v>
      </c>
      <c r="F16" s="12">
        <v>5.9588791411657446E-2</v>
      </c>
      <c r="H16" s="26">
        <v>98870.679028838509</v>
      </c>
      <c r="I16" s="26">
        <f t="shared" si="0"/>
        <v>98870.679028837738</v>
      </c>
      <c r="J16" s="27">
        <f t="shared" si="3"/>
        <v>1.8828921008014053E-2</v>
      </c>
      <c r="P16" s="25">
        <f t="shared" si="1"/>
        <v>98870.679028837738</v>
      </c>
      <c r="Q16" s="32">
        <v>1465.81</v>
      </c>
      <c r="R16" s="34">
        <f t="shared" si="2"/>
        <v>6.1399999999999899E-2</v>
      </c>
      <c r="T16" s="38">
        <f t="shared" si="4"/>
        <v>1.8771533731409829E-2</v>
      </c>
      <c r="U16" s="27">
        <f t="shared" si="5"/>
        <v>-1.0405466773430017E-2</v>
      </c>
      <c r="W16" s="62">
        <v>89.44</v>
      </c>
      <c r="X16" s="63">
        <f t="shared" si="6"/>
        <v>2.834978384614302E-2</v>
      </c>
    </row>
    <row r="17" spans="3:24" x14ac:dyDescent="0.3">
      <c r="C17" s="16">
        <v>36787</v>
      </c>
      <c r="D17" s="11">
        <v>66086.81</v>
      </c>
      <c r="E17" s="11">
        <v>34797</v>
      </c>
      <c r="F17" s="12">
        <v>5.892906752928747E-2</v>
      </c>
      <c r="H17" s="26">
        <v>98892.313229108171</v>
      </c>
      <c r="I17" s="26">
        <f t="shared" si="0"/>
        <v>98892.3132291074</v>
      </c>
      <c r="J17" s="27">
        <f t="shared" si="3"/>
        <v>2.1878916888290104E-4</v>
      </c>
      <c r="P17" s="25">
        <f t="shared" si="1"/>
        <v>98892.3132291074</v>
      </c>
      <c r="Q17" s="32">
        <v>1444.51</v>
      </c>
      <c r="R17" s="34">
        <f t="shared" si="2"/>
        <v>6.0699999999999976E-2</v>
      </c>
      <c r="T17" s="38">
        <f t="shared" si="4"/>
        <v>-1.7340741175209118E-5</v>
      </c>
      <c r="U17" s="27">
        <f t="shared" si="5"/>
        <v>-1.4767368669357461E-2</v>
      </c>
      <c r="W17" s="62">
        <v>89.44</v>
      </c>
      <c r="X17" s="63">
        <f t="shared" si="6"/>
        <v>0</v>
      </c>
    </row>
    <row r="18" spans="3:24" x14ac:dyDescent="0.3">
      <c r="C18" s="16">
        <v>36788</v>
      </c>
      <c r="D18" s="11">
        <v>62715.57</v>
      </c>
      <c r="E18" s="11">
        <v>34797</v>
      </c>
      <c r="F18" s="12">
        <v>5.9117604483088761E-2</v>
      </c>
      <c r="H18" s="26">
        <v>95514.764125415924</v>
      </c>
      <c r="I18" s="26">
        <f t="shared" si="0"/>
        <v>95514.764125414687</v>
      </c>
      <c r="J18" s="27">
        <f t="shared" si="3"/>
        <v>-3.4750679240432895E-2</v>
      </c>
      <c r="P18" s="25">
        <f t="shared" si="1"/>
        <v>95514.764125414687</v>
      </c>
      <c r="Q18" s="32">
        <v>1459.9</v>
      </c>
      <c r="R18" s="34">
        <f t="shared" si="2"/>
        <v>6.0899999999999954E-2</v>
      </c>
      <c r="T18" s="38">
        <f t="shared" si="4"/>
        <v>-3.4387269791159913E-2</v>
      </c>
      <c r="U18" s="27">
        <f t="shared" si="5"/>
        <v>1.042067031247762E-2</v>
      </c>
      <c r="W18" s="62">
        <v>84.88</v>
      </c>
      <c r="X18" s="63">
        <f t="shared" si="6"/>
        <v>-5.2329515101061395E-2</v>
      </c>
    </row>
    <row r="19" spans="3:24" x14ac:dyDescent="0.3">
      <c r="C19" s="16">
        <v>36789</v>
      </c>
      <c r="D19" s="11">
        <v>60729.71</v>
      </c>
      <c r="E19" s="11">
        <v>34797</v>
      </c>
      <c r="F19" s="12">
        <v>5.9211859631846032E-2</v>
      </c>
      <c r="H19" s="26">
        <v>93525.703256008041</v>
      </c>
      <c r="I19" s="26">
        <f t="shared" si="0"/>
        <v>93525.70325600644</v>
      </c>
      <c r="J19" s="27">
        <f t="shared" si="3"/>
        <v>-2.1044534059489386E-2</v>
      </c>
      <c r="P19" s="25">
        <f t="shared" si="1"/>
        <v>93525.70325600644</v>
      </c>
      <c r="Q19" s="32">
        <v>1451.34</v>
      </c>
      <c r="R19" s="34">
        <f t="shared" si="2"/>
        <v>6.0999999999999943E-2</v>
      </c>
      <c r="T19" s="38">
        <f t="shared" si="4"/>
        <v>-2.1058873824376878E-2</v>
      </c>
      <c r="U19" s="27">
        <f t="shared" si="5"/>
        <v>-6.0976460716487546E-3</v>
      </c>
      <c r="W19" s="62">
        <v>82.19</v>
      </c>
      <c r="X19" s="63">
        <f t="shared" si="6"/>
        <v>-3.2204854145319012E-2</v>
      </c>
    </row>
    <row r="20" spans="3:24" x14ac:dyDescent="0.3">
      <c r="C20" s="16">
        <v>36790</v>
      </c>
      <c r="D20" s="11">
        <v>59575.17</v>
      </c>
      <c r="E20" s="11">
        <v>34797</v>
      </c>
      <c r="F20" s="12">
        <v>5.9117604483088761E-2</v>
      </c>
      <c r="H20" s="26">
        <v>92374.173207622909</v>
      </c>
      <c r="I20" s="26">
        <f t="shared" si="0"/>
        <v>92374.173207621032</v>
      </c>
      <c r="J20" s="27">
        <f t="shared" si="3"/>
        <v>-1.2388870812804629E-2</v>
      </c>
      <c r="P20" s="25">
        <f t="shared" si="1"/>
        <v>92374.173207621032</v>
      </c>
      <c r="Q20" s="32">
        <v>1449.05</v>
      </c>
      <c r="R20" s="34">
        <f t="shared" si="2"/>
        <v>6.0899999999999954E-2</v>
      </c>
      <c r="T20" s="38">
        <f t="shared" si="4"/>
        <v>-1.2547060074107219E-2</v>
      </c>
      <c r="U20" s="27">
        <f t="shared" si="5"/>
        <v>-1.8124675763828701E-3</v>
      </c>
      <c r="W20" s="62">
        <v>80.63</v>
      </c>
      <c r="X20" s="63">
        <f t="shared" si="6"/>
        <v>-1.9162851463477983E-2</v>
      </c>
    </row>
    <row r="21" spans="3:24" x14ac:dyDescent="0.3">
      <c r="C21" s="16">
        <v>36791</v>
      </c>
      <c r="D21" s="11">
        <v>61237.74</v>
      </c>
      <c r="E21" s="11">
        <v>34797</v>
      </c>
      <c r="F21" s="12">
        <v>5.9117604483088761E-2</v>
      </c>
      <c r="H21" s="26">
        <v>94036.855585954574</v>
      </c>
      <c r="I21" s="26">
        <f t="shared" si="0"/>
        <v>94036.855585953061</v>
      </c>
      <c r="J21" s="27">
        <f t="shared" si="3"/>
        <v>1.7839357290875948E-2</v>
      </c>
      <c r="P21" s="25">
        <f t="shared" si="1"/>
        <v>94036.855585953061</v>
      </c>
      <c r="Q21" s="32">
        <v>1448.72</v>
      </c>
      <c r="R21" s="34">
        <f t="shared" si="2"/>
        <v>6.0899999999999954E-2</v>
      </c>
      <c r="T21" s="38">
        <f t="shared" si="4"/>
        <v>1.7765198298404616E-2</v>
      </c>
      <c r="U21" s="27">
        <f t="shared" si="5"/>
        <v>-4.6196618208738105E-4</v>
      </c>
      <c r="W21" s="62">
        <v>82.88</v>
      </c>
      <c r="X21" s="63">
        <f t="shared" si="6"/>
        <v>2.7522989814242223E-2</v>
      </c>
    </row>
    <row r="22" spans="3:24" x14ac:dyDescent="0.3">
      <c r="C22" s="16">
        <v>36794</v>
      </c>
      <c r="D22" s="11">
        <v>62392.28</v>
      </c>
      <c r="E22" s="11">
        <v>34797</v>
      </c>
      <c r="F22" s="12">
        <v>5.9117604483088761E-2</v>
      </c>
      <c r="H22" s="26">
        <v>95191.458423720236</v>
      </c>
      <c r="I22" s="26">
        <f t="shared" si="0"/>
        <v>95191.458423718956</v>
      </c>
      <c r="J22" s="27">
        <f t="shared" si="3"/>
        <v>1.2203429204012056E-2</v>
      </c>
      <c r="P22" s="25">
        <f t="shared" si="1"/>
        <v>95191.458423718956</v>
      </c>
      <c r="Q22" s="32">
        <v>1439.03</v>
      </c>
      <c r="R22" s="34">
        <f t="shared" si="2"/>
        <v>6.0899999999999954E-2</v>
      </c>
      <c r="T22" s="38">
        <f t="shared" si="4"/>
        <v>1.2043964099913484E-2</v>
      </c>
      <c r="U22" s="27">
        <f t="shared" si="5"/>
        <v>-6.9228938649289473E-3</v>
      </c>
      <c r="W22" s="62">
        <v>84.44</v>
      </c>
      <c r="X22" s="63">
        <f t="shared" si="6"/>
        <v>1.864744446894703E-2</v>
      </c>
    </row>
    <row r="23" spans="3:24" x14ac:dyDescent="0.3">
      <c r="C23" s="16">
        <v>36795</v>
      </c>
      <c r="D23" s="11">
        <v>63315.93</v>
      </c>
      <c r="E23" s="11">
        <v>34797</v>
      </c>
      <c r="F23" s="12">
        <v>5.9023340449460976E-2</v>
      </c>
      <c r="H23" s="26">
        <v>96118.242984720186</v>
      </c>
      <c r="I23" s="26">
        <f t="shared" si="0"/>
        <v>96118.242984719051</v>
      </c>
      <c r="J23" s="27">
        <f t="shared" si="3"/>
        <v>9.688915975834168E-3</v>
      </c>
      <c r="P23" s="25">
        <f t="shared" si="1"/>
        <v>96118.242984719051</v>
      </c>
      <c r="Q23" s="32">
        <v>1427.21</v>
      </c>
      <c r="R23" s="34">
        <f t="shared" si="2"/>
        <v>6.0799999999999965E-2</v>
      </c>
      <c r="T23" s="38">
        <f t="shared" si="4"/>
        <v>9.5017747122145835E-3</v>
      </c>
      <c r="U23" s="27">
        <f t="shared" si="5"/>
        <v>-8.4480970541587208E-3</v>
      </c>
      <c r="W23" s="62">
        <v>85.69</v>
      </c>
      <c r="X23" s="63">
        <f t="shared" si="6"/>
        <v>1.4694909700907538E-2</v>
      </c>
    </row>
    <row r="24" spans="3:24" x14ac:dyDescent="0.3">
      <c r="C24" s="16">
        <v>36796</v>
      </c>
      <c r="D24" s="11">
        <v>64609.03</v>
      </c>
      <c r="E24" s="11">
        <v>34797</v>
      </c>
      <c r="F24" s="12">
        <v>5.892906752928747E-2</v>
      </c>
      <c r="H24" s="26">
        <v>97414.486100729308</v>
      </c>
      <c r="I24" s="26">
        <f t="shared" si="0"/>
        <v>97414.486100728347</v>
      </c>
      <c r="J24" s="27">
        <f t="shared" si="3"/>
        <v>1.339579621521101E-2</v>
      </c>
      <c r="P24" s="25">
        <f t="shared" si="1"/>
        <v>97414.486100728347</v>
      </c>
      <c r="Q24" s="32">
        <v>1426.57</v>
      </c>
      <c r="R24" s="34">
        <f t="shared" si="2"/>
        <v>6.0699999999999976E-2</v>
      </c>
      <c r="T24" s="38">
        <f t="shared" si="4"/>
        <v>1.3252075724848211E-2</v>
      </c>
      <c r="U24" s="27">
        <f t="shared" si="5"/>
        <v>-6.822735051120743E-4</v>
      </c>
      <c r="W24" s="62">
        <v>87.44</v>
      </c>
      <c r="X24" s="63">
        <f t="shared" si="6"/>
        <v>2.0216711187255744E-2</v>
      </c>
    </row>
    <row r="25" spans="3:24" x14ac:dyDescent="0.3">
      <c r="C25" s="16">
        <v>36797</v>
      </c>
      <c r="D25" s="11">
        <v>65948.25</v>
      </c>
      <c r="E25" s="11">
        <v>34797</v>
      </c>
      <c r="F25" s="12">
        <v>5.9117604483088761E-2</v>
      </c>
      <c r="H25" s="26">
        <v>98747.565139612081</v>
      </c>
      <c r="I25" s="26">
        <f t="shared" si="0"/>
        <v>98747.565139611295</v>
      </c>
      <c r="J25" s="27">
        <f t="shared" si="3"/>
        <v>1.359181914003962E-2</v>
      </c>
      <c r="P25" s="25">
        <f t="shared" si="1"/>
        <v>98747.565139611295</v>
      </c>
      <c r="Q25" s="32">
        <v>1458.29</v>
      </c>
      <c r="R25" s="34">
        <f t="shared" si="2"/>
        <v>6.0899999999999954E-2</v>
      </c>
      <c r="T25" s="38">
        <f t="shared" si="4"/>
        <v>1.3451146287775995E-2</v>
      </c>
      <c r="U25" s="27">
        <f t="shared" si="5"/>
        <v>2.2001689908715871E-2</v>
      </c>
      <c r="W25" s="62">
        <v>89.25</v>
      </c>
      <c r="X25" s="63">
        <f t="shared" si="6"/>
        <v>2.0488576791465297E-2</v>
      </c>
    </row>
    <row r="26" spans="3:24" x14ac:dyDescent="0.3">
      <c r="C26" s="16">
        <v>36798</v>
      </c>
      <c r="D26" s="11">
        <v>64747.56</v>
      </c>
      <c r="E26" s="11">
        <v>34797</v>
      </c>
      <c r="F26" s="12">
        <v>5.9494571785639667E-2</v>
      </c>
      <c r="H26" s="26">
        <v>97534.475869423477</v>
      </c>
      <c r="I26" s="26">
        <f t="shared" si="0"/>
        <v>97534.475869422531</v>
      </c>
      <c r="J26" s="27">
        <f t="shared" si="3"/>
        <v>-1.2360832499910367E-2</v>
      </c>
      <c r="P26" s="25">
        <f t="shared" si="1"/>
        <v>97534.475869422531</v>
      </c>
      <c r="Q26" s="32">
        <v>1436.51</v>
      </c>
      <c r="R26" s="34">
        <f t="shared" si="2"/>
        <v>6.129999999999991E-2</v>
      </c>
      <c r="T26" s="38">
        <f t="shared" si="4"/>
        <v>-1.2518981977766019E-2</v>
      </c>
      <c r="U26" s="27">
        <f t="shared" si="5"/>
        <v>-1.5169531703887018E-2</v>
      </c>
      <c r="W26" s="62">
        <v>87.63</v>
      </c>
      <c r="X26" s="63">
        <f t="shared" si="6"/>
        <v>-1.8318015591989173E-2</v>
      </c>
    </row>
    <row r="27" spans="3:24" x14ac:dyDescent="0.3">
      <c r="C27" s="16">
        <v>36801</v>
      </c>
      <c r="D27" s="11">
        <v>63870.11</v>
      </c>
      <c r="E27" s="11">
        <v>34797</v>
      </c>
      <c r="F27" s="12">
        <v>5.8834785720892555E-2</v>
      </c>
      <c r="H27" s="26">
        <v>96678.631127460059</v>
      </c>
      <c r="I27" s="26">
        <f t="shared" si="0"/>
        <v>96678.631127459012</v>
      </c>
      <c r="J27" s="27">
        <f t="shared" si="3"/>
        <v>-8.8135172257119022E-3</v>
      </c>
      <c r="P27" s="25">
        <f t="shared" si="1"/>
        <v>96678.631127459012</v>
      </c>
      <c r="Q27" s="32">
        <v>1436.23</v>
      </c>
      <c r="R27" s="34">
        <f t="shared" si="2"/>
        <v>6.0599999999999987E-2</v>
      </c>
      <c r="T27" s="38">
        <f t="shared" si="4"/>
        <v>-9.0105612654269862E-3</v>
      </c>
      <c r="U27" s="27">
        <f t="shared" si="5"/>
        <v>-4.3068607785001767E-4</v>
      </c>
      <c r="W27" s="62">
        <v>86.44</v>
      </c>
      <c r="X27" s="63">
        <f t="shared" si="6"/>
        <v>-1.367287342907398E-2</v>
      </c>
    </row>
    <row r="28" spans="3:24" x14ac:dyDescent="0.3">
      <c r="C28" s="16">
        <v>36802</v>
      </c>
      <c r="D28" s="11">
        <v>63223.56</v>
      </c>
      <c r="E28" s="11">
        <v>34797</v>
      </c>
      <c r="F28" s="12">
        <v>5.892906752928747E-2</v>
      </c>
      <c r="H28" s="26">
        <v>96028.961211906761</v>
      </c>
      <c r="I28" s="26">
        <f t="shared" si="0"/>
        <v>96028.961211905596</v>
      </c>
      <c r="J28" s="27">
        <f t="shared" si="3"/>
        <v>-6.7425716750855891E-3</v>
      </c>
      <c r="P28" s="25">
        <f t="shared" si="1"/>
        <v>96028.961211905596</v>
      </c>
      <c r="Q28" s="32">
        <v>1426.46</v>
      </c>
      <c r="R28" s="34">
        <f t="shared" si="2"/>
        <v>6.0699999999999976E-2</v>
      </c>
      <c r="T28" s="38">
        <f t="shared" si="4"/>
        <v>-6.9529684645377454E-3</v>
      </c>
      <c r="U28" s="27">
        <f t="shared" si="5"/>
        <v>-7.0356085510194788E-3</v>
      </c>
      <c r="W28" s="62">
        <v>85.56</v>
      </c>
      <c r="X28" s="63">
        <f t="shared" si="6"/>
        <v>-1.0232647424480336E-2</v>
      </c>
    </row>
    <row r="29" spans="3:24" x14ac:dyDescent="0.3">
      <c r="C29" s="16">
        <v>36803</v>
      </c>
      <c r="D29" s="11">
        <v>61376.27</v>
      </c>
      <c r="E29" s="11">
        <v>34797</v>
      </c>
      <c r="F29" s="12">
        <v>5.8834785720892555E-2</v>
      </c>
      <c r="H29" s="26">
        <v>94184.67023228656</v>
      </c>
      <c r="I29" s="26">
        <f t="shared" si="0"/>
        <v>94184.670232285076</v>
      </c>
      <c r="J29" s="27">
        <f t="shared" si="3"/>
        <v>-1.9392393310785763E-2</v>
      </c>
      <c r="P29" s="25">
        <f t="shared" si="1"/>
        <v>94184.670232285076</v>
      </c>
      <c r="Q29" s="32">
        <v>1434.32</v>
      </c>
      <c r="R29" s="34">
        <f t="shared" si="2"/>
        <v>6.0599999999999987E-2</v>
      </c>
      <c r="T29" s="38">
        <f t="shared" si="4"/>
        <v>-1.9439031986638766E-2</v>
      </c>
      <c r="U29" s="27">
        <f t="shared" si="5"/>
        <v>5.276682454359749E-3</v>
      </c>
      <c r="W29" s="62">
        <v>83.06</v>
      </c>
      <c r="X29" s="63">
        <f t="shared" si="6"/>
        <v>-2.9654646011597421E-2</v>
      </c>
    </row>
    <row r="30" spans="3:24" x14ac:dyDescent="0.3">
      <c r="C30" s="16">
        <v>36804</v>
      </c>
      <c r="D30" s="11">
        <v>61330.1</v>
      </c>
      <c r="E30" s="11">
        <v>34797</v>
      </c>
      <c r="F30" s="12">
        <v>5.8834785720892555E-2</v>
      </c>
      <c r="H30" s="26">
        <v>94138.497532221591</v>
      </c>
      <c r="I30" s="26">
        <f t="shared" si="0"/>
        <v>94138.497532220092</v>
      </c>
      <c r="J30" s="27">
        <f t="shared" si="3"/>
        <v>-4.9035603572563583E-4</v>
      </c>
      <c r="P30" s="25">
        <f t="shared" si="1"/>
        <v>94138.497532220092</v>
      </c>
      <c r="Q30" s="32">
        <v>1436.28</v>
      </c>
      <c r="R30" s="34">
        <f t="shared" si="2"/>
        <v>6.0599999999999987E-2</v>
      </c>
      <c r="T30" s="38">
        <f t="shared" si="4"/>
        <v>-7.2331275393044958E-4</v>
      </c>
      <c r="U30" s="27">
        <f t="shared" si="5"/>
        <v>1.1334242760976387E-3</v>
      </c>
      <c r="W30" s="62">
        <v>83</v>
      </c>
      <c r="X30" s="63">
        <f t="shared" si="6"/>
        <v>-7.2263040600959924E-4</v>
      </c>
    </row>
    <row r="31" spans="3:24" x14ac:dyDescent="0.3">
      <c r="C31" s="16">
        <v>36805</v>
      </c>
      <c r="D31" s="11">
        <v>60314.09</v>
      </c>
      <c r="E31" s="11">
        <v>34797</v>
      </c>
      <c r="F31" s="12">
        <v>5.8834785720892555E-2</v>
      </c>
      <c r="H31" s="26">
        <v>93122.423027670637</v>
      </c>
      <c r="I31" s="26">
        <f t="shared" si="0"/>
        <v>93122.423027668934</v>
      </c>
      <c r="J31" s="27">
        <f t="shared" si="3"/>
        <v>-1.0852071785218459E-2</v>
      </c>
      <c r="P31" s="25">
        <f t="shared" si="1"/>
        <v>93122.423027668934</v>
      </c>
      <c r="Q31" s="32">
        <v>1408.99</v>
      </c>
      <c r="R31" s="34">
        <f t="shared" si="2"/>
        <v>6.0599999999999987E-2</v>
      </c>
      <c r="T31" s="38">
        <f t="shared" si="4"/>
        <v>-1.1026477404143642E-2</v>
      </c>
      <c r="U31" s="27">
        <f t="shared" si="5"/>
        <v>-1.9233550368366159E-2</v>
      </c>
      <c r="W31" s="62">
        <v>81.63</v>
      </c>
      <c r="X31" s="63">
        <f t="shared" si="6"/>
        <v>-1.6643766333333337E-2</v>
      </c>
    </row>
    <row r="32" spans="3:24" x14ac:dyDescent="0.3">
      <c r="C32" s="16">
        <v>36808</v>
      </c>
      <c r="D32" s="11">
        <v>61330.1</v>
      </c>
      <c r="E32" s="11">
        <v>34797</v>
      </c>
      <c r="F32" s="12">
        <v>5.8834785720892555E-2</v>
      </c>
      <c r="H32" s="26">
        <v>94138.497532221591</v>
      </c>
      <c r="I32" s="26">
        <f t="shared" si="0"/>
        <v>94138.497532220092</v>
      </c>
      <c r="J32" s="27">
        <f t="shared" si="3"/>
        <v>1.0852071785218458E-2</v>
      </c>
      <c r="P32" s="25">
        <f t="shared" si="1"/>
        <v>94138.497532220092</v>
      </c>
      <c r="Q32" s="32">
        <v>1402.03</v>
      </c>
      <c r="R32" s="34">
        <f t="shared" si="2"/>
        <v>6.0599999999999987E-2</v>
      </c>
      <c r="T32" s="38">
        <f t="shared" si="4"/>
        <v>1.0678092175790521E-2</v>
      </c>
      <c r="U32" s="27">
        <f t="shared" si="5"/>
        <v>-5.1727855086595165E-3</v>
      </c>
      <c r="W32" s="62">
        <v>83</v>
      </c>
      <c r="X32" s="63">
        <f t="shared" si="6"/>
        <v>1.6643766333333452E-2</v>
      </c>
    </row>
    <row r="33" spans="3:24" x14ac:dyDescent="0.3">
      <c r="C33" s="16">
        <v>36809</v>
      </c>
      <c r="D33" s="11">
        <v>60360.25</v>
      </c>
      <c r="E33" s="11">
        <v>34797</v>
      </c>
      <c r="F33" s="12">
        <v>5.8834785720892555E-2</v>
      </c>
      <c r="H33" s="26">
        <v>93168.586180661907</v>
      </c>
      <c r="I33" s="26">
        <f t="shared" si="0"/>
        <v>93168.586180660233</v>
      </c>
      <c r="J33" s="27">
        <f t="shared" si="3"/>
        <v>-1.0356469188696576E-2</v>
      </c>
      <c r="P33" s="25">
        <f t="shared" si="1"/>
        <v>93168.586180660233</v>
      </c>
      <c r="Q33" s="32">
        <v>1387.02</v>
      </c>
      <c r="R33" s="34">
        <f t="shared" si="2"/>
        <v>6.0599999999999987E-2</v>
      </c>
      <c r="T33" s="38">
        <f t="shared" si="4"/>
        <v>-1.0536102539434267E-2</v>
      </c>
      <c r="U33" s="27">
        <f t="shared" si="5"/>
        <v>-1.0938981932242187E-2</v>
      </c>
      <c r="W33" s="62">
        <v>81.69</v>
      </c>
      <c r="X33" s="63">
        <f t="shared" si="6"/>
        <v>-1.5909012442820059E-2</v>
      </c>
    </row>
    <row r="34" spans="3:24" x14ac:dyDescent="0.3">
      <c r="C34" s="16">
        <v>36810</v>
      </c>
      <c r="D34" s="11">
        <v>61191.54</v>
      </c>
      <c r="E34" s="11">
        <v>34797</v>
      </c>
      <c r="F34" s="12">
        <v>5.8363243296914981E-2</v>
      </c>
      <c r="H34" s="26">
        <v>94015.401775538558</v>
      </c>
      <c r="I34" s="26">
        <f t="shared" si="0"/>
        <v>94015.401775537044</v>
      </c>
      <c r="J34" s="27">
        <f t="shared" si="3"/>
        <v>9.0480107969414421E-3</v>
      </c>
      <c r="P34" s="25">
        <f t="shared" si="1"/>
        <v>94015.401775537044</v>
      </c>
      <c r="Q34" s="32">
        <v>1364.59</v>
      </c>
      <c r="R34" s="34">
        <f t="shared" si="2"/>
        <v>6.0100000000000042E-2</v>
      </c>
      <c r="T34" s="38">
        <f t="shared" si="4"/>
        <v>8.8559908581469227E-3</v>
      </c>
      <c r="U34" s="27">
        <f t="shared" si="5"/>
        <v>-1.6404437105338232E-2</v>
      </c>
      <c r="W34" s="62">
        <v>82.81</v>
      </c>
      <c r="X34" s="63">
        <f t="shared" si="6"/>
        <v>1.3617231691830853E-2</v>
      </c>
    </row>
    <row r="35" spans="3:24" x14ac:dyDescent="0.3">
      <c r="C35" s="16">
        <v>36811</v>
      </c>
      <c r="D35" s="11">
        <v>59020.98</v>
      </c>
      <c r="E35" s="11">
        <v>34797</v>
      </c>
      <c r="F35" s="12">
        <v>5.7608312620313275E-2</v>
      </c>
      <c r="H35" s="26">
        <v>91869.472021027497</v>
      </c>
      <c r="I35" s="26">
        <f t="shared" si="0"/>
        <v>91869.472021025475</v>
      </c>
      <c r="J35" s="27">
        <f t="shared" si="3"/>
        <v>-2.3089830280024846E-2</v>
      </c>
      <c r="P35" s="25">
        <f t="shared" si="1"/>
        <v>91869.472021025475</v>
      </c>
      <c r="Q35" s="32">
        <v>1329.78</v>
      </c>
      <c r="R35" s="34">
        <f t="shared" si="2"/>
        <v>5.9299999999999908E-2</v>
      </c>
      <c r="T35" s="38">
        <f t="shared" si="4"/>
        <v>-2.3056453892576156E-2</v>
      </c>
      <c r="U35" s="27">
        <f t="shared" si="5"/>
        <v>-2.5740647540230532E-2</v>
      </c>
      <c r="W35" s="62">
        <v>79.88</v>
      </c>
      <c r="X35" s="63">
        <f t="shared" si="6"/>
        <v>-3.6023318497994353E-2</v>
      </c>
    </row>
    <row r="36" spans="3:24" x14ac:dyDescent="0.3">
      <c r="C36" s="16">
        <v>36812</v>
      </c>
      <c r="D36" s="11">
        <v>58743.89</v>
      </c>
      <c r="E36" s="11">
        <v>34797</v>
      </c>
      <c r="F36" s="12">
        <v>5.8080211076524724E-2</v>
      </c>
      <c r="H36" s="26">
        <v>91576.863057602095</v>
      </c>
      <c r="I36" s="26">
        <f t="shared" si="0"/>
        <v>91576.863057599985</v>
      </c>
      <c r="J36" s="27">
        <f t="shared" si="3"/>
        <v>-3.1901341769041349E-3</v>
      </c>
      <c r="P36" s="25">
        <f t="shared" si="1"/>
        <v>91576.863057599985</v>
      </c>
      <c r="Q36" s="32">
        <v>1374.17</v>
      </c>
      <c r="R36" s="34">
        <f t="shared" si="2"/>
        <v>5.9800000000000075E-2</v>
      </c>
      <c r="T36" s="38">
        <f t="shared" si="4"/>
        <v>-3.4131280286119337E-3</v>
      </c>
      <c r="U36" s="27">
        <f t="shared" si="5"/>
        <v>3.3153384672074182E-2</v>
      </c>
      <c r="W36" s="62">
        <v>79.5</v>
      </c>
      <c r="X36" s="63">
        <f t="shared" si="6"/>
        <v>-4.7684868873282106E-3</v>
      </c>
    </row>
    <row r="37" spans="3:24" x14ac:dyDescent="0.3">
      <c r="C37" s="16">
        <v>36815</v>
      </c>
      <c r="D37" s="11">
        <v>59113.35</v>
      </c>
      <c r="E37" s="11">
        <v>34797</v>
      </c>
      <c r="F37" s="12">
        <v>5.798584919865335E-2</v>
      </c>
      <c r="H37" s="26">
        <v>91949.452457176056</v>
      </c>
      <c r="I37" s="26">
        <f t="shared" si="0"/>
        <v>91949.452457174033</v>
      </c>
      <c r="J37" s="27">
        <f t="shared" si="3"/>
        <v>4.0603431765790371E-3</v>
      </c>
      <c r="P37" s="25">
        <f t="shared" si="1"/>
        <v>91949.452457174033</v>
      </c>
      <c r="Q37" s="32">
        <v>1374.62</v>
      </c>
      <c r="R37" s="34">
        <f t="shared" si="2"/>
        <v>5.9700000000000086E-2</v>
      </c>
      <c r="T37" s="38">
        <f t="shared" si="4"/>
        <v>3.8385975380015314E-3</v>
      </c>
      <c r="U37" s="27">
        <f t="shared" si="5"/>
        <v>9.7470400314270123E-5</v>
      </c>
      <c r="W37" s="62">
        <v>80</v>
      </c>
      <c r="X37" s="63">
        <f t="shared" si="6"/>
        <v>6.269613013595395E-3</v>
      </c>
    </row>
    <row r="38" spans="3:24" x14ac:dyDescent="0.3">
      <c r="C38" s="16">
        <v>36816</v>
      </c>
      <c r="D38" s="11">
        <v>58512.959999999999</v>
      </c>
      <c r="E38" s="11">
        <v>34797</v>
      </c>
      <c r="F38" s="12">
        <v>5.7513906200606639E-2</v>
      </c>
      <c r="H38" s="26">
        <v>91364.508126164044</v>
      </c>
      <c r="I38" s="26">
        <f t="shared" si="0"/>
        <v>91364.508126161862</v>
      </c>
      <c r="J38" s="27">
        <f t="shared" si="3"/>
        <v>-6.3819069151763224E-3</v>
      </c>
      <c r="P38" s="25">
        <f t="shared" si="1"/>
        <v>91364.508126161862</v>
      </c>
      <c r="Q38" s="32">
        <v>1349.97</v>
      </c>
      <c r="R38" s="34">
        <f t="shared" si="2"/>
        <v>5.9199999999999919E-2</v>
      </c>
      <c r="T38" s="38">
        <f t="shared" si="4"/>
        <v>-6.5912011839935891E-3</v>
      </c>
      <c r="U38" s="27">
        <f t="shared" si="5"/>
        <v>-1.81618439277762E-2</v>
      </c>
      <c r="W38" s="62">
        <v>79.19</v>
      </c>
      <c r="X38" s="63">
        <f t="shared" si="6"/>
        <v>-1.0176606451560547E-2</v>
      </c>
    </row>
    <row r="39" spans="3:24" x14ac:dyDescent="0.3">
      <c r="C39" s="16">
        <v>36817</v>
      </c>
      <c r="D39" s="11">
        <v>58189.7</v>
      </c>
      <c r="E39" s="11">
        <v>34797</v>
      </c>
      <c r="F39" s="12">
        <v>5.741949086748642E-2</v>
      </c>
      <c r="H39" s="26">
        <v>91044.319135869984</v>
      </c>
      <c r="I39" s="26">
        <f t="shared" si="0"/>
        <v>91044.3191358677</v>
      </c>
      <c r="J39" s="27">
        <f t="shared" si="3"/>
        <v>-3.5106778981814435E-3</v>
      </c>
      <c r="P39" s="25">
        <f t="shared" si="1"/>
        <v>91044.3191358677</v>
      </c>
      <c r="Q39" s="32">
        <v>1342.13</v>
      </c>
      <c r="R39" s="34">
        <f t="shared" si="2"/>
        <v>5.909999999999993E-2</v>
      </c>
      <c r="T39" s="38">
        <f t="shared" si="4"/>
        <v>-3.7322149813329153E-3</v>
      </c>
      <c r="U39" s="27">
        <f t="shared" si="5"/>
        <v>-6.0352287714654507E-3</v>
      </c>
      <c r="W39" s="62">
        <v>78.75</v>
      </c>
      <c r="X39" s="63">
        <f t="shared" si="6"/>
        <v>-5.571750516578617E-3</v>
      </c>
    </row>
    <row r="40" spans="3:24" x14ac:dyDescent="0.3">
      <c r="C40" s="16">
        <v>36818</v>
      </c>
      <c r="D40" s="11">
        <v>58374.43</v>
      </c>
      <c r="E40" s="11">
        <v>34797</v>
      </c>
      <c r="F40" s="12">
        <v>5.7891478415777679E-2</v>
      </c>
      <c r="H40" s="26">
        <v>91213.565895572217</v>
      </c>
      <c r="I40" s="26">
        <f t="shared" si="0"/>
        <v>91213.565895569991</v>
      </c>
      <c r="J40" s="27">
        <f t="shared" si="3"/>
        <v>1.8572234427201633E-3</v>
      </c>
      <c r="P40" s="25">
        <f t="shared" si="1"/>
        <v>91213.565895569991</v>
      </c>
      <c r="Q40" s="32">
        <v>1388.76</v>
      </c>
      <c r="R40" s="34">
        <f t="shared" si="2"/>
        <v>5.9600000000000097E-2</v>
      </c>
      <c r="T40" s="38">
        <f t="shared" si="4"/>
        <v>1.6316414580477279E-3</v>
      </c>
      <c r="U40" s="27">
        <f t="shared" si="5"/>
        <v>3.4515973509960274E-2</v>
      </c>
      <c r="W40" s="62">
        <v>79</v>
      </c>
      <c r="X40" s="63">
        <f t="shared" si="6"/>
        <v>3.1695747612790395E-3</v>
      </c>
    </row>
    <row r="41" spans="3:24" x14ac:dyDescent="0.3">
      <c r="C41" s="16">
        <v>36819</v>
      </c>
      <c r="D41" s="11">
        <v>59482.8</v>
      </c>
      <c r="E41" s="11">
        <v>34797</v>
      </c>
      <c r="F41" s="12">
        <v>5.7702710128289154E-2</v>
      </c>
      <c r="H41" s="26">
        <v>92328.229463710668</v>
      </c>
      <c r="I41" s="26">
        <f t="shared" si="0"/>
        <v>92328.229463708747</v>
      </c>
      <c r="J41" s="27">
        <f t="shared" si="3"/>
        <v>1.2146304551882467E-2</v>
      </c>
      <c r="P41" s="25">
        <f t="shared" si="1"/>
        <v>92328.229463708747</v>
      </c>
      <c r="Q41" s="32">
        <v>1396.93</v>
      </c>
      <c r="R41" s="34">
        <f t="shared" si="2"/>
        <v>5.9399999999999897E-2</v>
      </c>
      <c r="T41" s="38">
        <f t="shared" si="4"/>
        <v>1.1991139711788668E-2</v>
      </c>
      <c r="U41" s="27">
        <f t="shared" si="5"/>
        <v>5.6537151681521625E-3</v>
      </c>
      <c r="W41" s="62">
        <v>80.5</v>
      </c>
      <c r="X41" s="63">
        <f t="shared" si="6"/>
        <v>1.8809331957496293E-2</v>
      </c>
    </row>
    <row r="42" spans="3:24" x14ac:dyDescent="0.3">
      <c r="C42" s="16">
        <v>36822</v>
      </c>
      <c r="D42" s="11">
        <v>60591.18</v>
      </c>
      <c r="E42" s="11">
        <v>34797</v>
      </c>
      <c r="F42" s="12">
        <v>5.7608312620313275E-2</v>
      </c>
      <c r="H42" s="26">
        <v>93439.789957647139</v>
      </c>
      <c r="I42" s="26">
        <f t="shared" si="0"/>
        <v>93439.78995764548</v>
      </c>
      <c r="J42" s="27">
        <f t="shared" si="3"/>
        <v>1.1967331767508341E-2</v>
      </c>
      <c r="P42" s="25">
        <f t="shared" si="1"/>
        <v>93439.78995764548</v>
      </c>
      <c r="Q42" s="32">
        <v>1395.78</v>
      </c>
      <c r="R42" s="34">
        <f t="shared" si="2"/>
        <v>5.9299999999999908E-2</v>
      </c>
      <c r="T42" s="38">
        <f t="shared" si="4"/>
        <v>1.1810765254830935E-2</v>
      </c>
      <c r="U42" s="27">
        <f t="shared" si="5"/>
        <v>-1.051695344020942E-3</v>
      </c>
      <c r="W42" s="62">
        <v>82</v>
      </c>
      <c r="X42" s="63">
        <f t="shared" si="6"/>
        <v>1.8462062839735352E-2</v>
      </c>
    </row>
    <row r="43" spans="3:24" x14ac:dyDescent="0.3">
      <c r="C43" s="16">
        <v>36823</v>
      </c>
      <c r="D43" s="11">
        <v>59251.88</v>
      </c>
      <c r="E43" s="11">
        <v>34797</v>
      </c>
      <c r="F43" s="12">
        <v>5.798584919865335E-2</v>
      </c>
      <c r="H43" s="26">
        <v>92087.993837343893</v>
      </c>
      <c r="I43" s="26">
        <f t="shared" si="0"/>
        <v>92087.993837341914</v>
      </c>
      <c r="J43" s="27">
        <f t="shared" si="3"/>
        <v>-1.4572696501242934E-2</v>
      </c>
      <c r="P43" s="25">
        <f t="shared" si="1"/>
        <v>92087.993837341914</v>
      </c>
      <c r="Q43" s="32">
        <v>1398.13</v>
      </c>
      <c r="R43" s="34">
        <f t="shared" si="2"/>
        <v>5.9700000000000086E-2</v>
      </c>
      <c r="T43" s="38">
        <f t="shared" si="4"/>
        <v>-1.4695105593799607E-2</v>
      </c>
      <c r="U43" s="27">
        <f t="shared" si="5"/>
        <v>1.4555694968461097E-3</v>
      </c>
      <c r="W43" s="62">
        <v>80.19</v>
      </c>
      <c r="X43" s="63">
        <f t="shared" si="6"/>
        <v>-2.2320428445315808E-2</v>
      </c>
    </row>
    <row r="44" spans="3:24" x14ac:dyDescent="0.3">
      <c r="C44" s="16">
        <v>36824</v>
      </c>
      <c r="D44" s="11">
        <v>56250.04</v>
      </c>
      <c r="E44" s="11">
        <v>34797</v>
      </c>
      <c r="F44" s="12">
        <v>5.8363243296914981E-2</v>
      </c>
      <c r="H44" s="26">
        <v>89073.456947886807</v>
      </c>
      <c r="I44" s="26">
        <f t="shared" si="0"/>
        <v>89073.456947883853</v>
      </c>
      <c r="J44" s="27">
        <f t="shared" si="3"/>
        <v>-3.3283186415628073E-2</v>
      </c>
      <c r="P44" s="25">
        <f t="shared" si="1"/>
        <v>89073.456947883853</v>
      </c>
      <c r="Q44" s="32">
        <v>1364.9</v>
      </c>
      <c r="R44" s="34">
        <f t="shared" si="2"/>
        <v>6.0100000000000042E-2</v>
      </c>
      <c r="T44" s="38">
        <f t="shared" si="4"/>
        <v>-3.2965010780270698E-2</v>
      </c>
      <c r="U44" s="27">
        <f t="shared" si="5"/>
        <v>-2.3997076207285639E-2</v>
      </c>
      <c r="W44" s="62">
        <v>76.13</v>
      </c>
      <c r="X44" s="63">
        <f t="shared" si="6"/>
        <v>-5.1956413500816132E-2</v>
      </c>
    </row>
    <row r="45" spans="3:24" x14ac:dyDescent="0.3">
      <c r="C45" s="16">
        <v>36825</v>
      </c>
      <c r="D45" s="11">
        <v>57266.05</v>
      </c>
      <c r="E45" s="11">
        <v>34797</v>
      </c>
      <c r="F45" s="12">
        <v>5.8740495022600085E-2</v>
      </c>
      <c r="H45" s="26">
        <v>90077.209748890396</v>
      </c>
      <c r="I45" s="26">
        <f t="shared" si="0"/>
        <v>90077.20974888785</v>
      </c>
      <c r="J45" s="27">
        <f t="shared" si="3"/>
        <v>1.1205800379341869E-2</v>
      </c>
      <c r="P45" s="25">
        <f t="shared" si="1"/>
        <v>90077.20974888785</v>
      </c>
      <c r="Q45" s="32">
        <v>1364.44</v>
      </c>
      <c r="R45" s="34">
        <f t="shared" si="2"/>
        <v>6.0499999999999998E-2</v>
      </c>
      <c r="T45" s="38">
        <f t="shared" si="4"/>
        <v>1.1037666691386061E-2</v>
      </c>
      <c r="U45" s="27">
        <f t="shared" si="5"/>
        <v>-5.6817487333538086E-4</v>
      </c>
      <c r="W45" s="62">
        <v>77.5</v>
      </c>
      <c r="X45" s="63">
        <f t="shared" si="6"/>
        <v>1.7835531041180051E-2</v>
      </c>
    </row>
    <row r="46" spans="3:24" x14ac:dyDescent="0.3">
      <c r="C46" s="16">
        <v>36826</v>
      </c>
      <c r="D46" s="11">
        <v>58282.06</v>
      </c>
      <c r="E46" s="11">
        <v>34797</v>
      </c>
      <c r="F46" s="12">
        <v>5.8363243296914981E-2</v>
      </c>
      <c r="H46" s="26">
        <v>91105.701134228933</v>
      </c>
      <c r="I46" s="26">
        <f t="shared" si="0"/>
        <v>91105.701134226692</v>
      </c>
      <c r="J46" s="27">
        <f t="shared" si="3"/>
        <v>1.1353194709008392E-2</v>
      </c>
      <c r="P46" s="25">
        <f t="shared" si="1"/>
        <v>91105.701134226692</v>
      </c>
      <c r="Q46" s="32">
        <v>1379.58</v>
      </c>
      <c r="R46" s="34">
        <f t="shared" si="2"/>
        <v>6.0100000000000042E-2</v>
      </c>
      <c r="T46" s="38">
        <f t="shared" si="4"/>
        <v>1.1185194505254126E-2</v>
      </c>
      <c r="U46" s="27">
        <f t="shared" si="5"/>
        <v>1.0863435041256642E-2</v>
      </c>
      <c r="W46" s="62">
        <v>78.88</v>
      </c>
      <c r="X46" s="63">
        <f t="shared" si="6"/>
        <v>1.7649773935078505E-2</v>
      </c>
    </row>
    <row r="47" spans="3:24" x14ac:dyDescent="0.3">
      <c r="C47" s="16">
        <v>36829</v>
      </c>
      <c r="D47" s="11">
        <v>59621.33</v>
      </c>
      <c r="E47" s="11">
        <v>34797</v>
      </c>
      <c r="F47" s="12">
        <v>5.9494571785639667E-2</v>
      </c>
      <c r="H47" s="26">
        <v>92407.976611529855</v>
      </c>
      <c r="I47" s="26">
        <f t="shared" si="0"/>
        <v>92407.976611528007</v>
      </c>
      <c r="J47" s="27">
        <f t="shared" si="3"/>
        <v>1.4192918522189225E-2</v>
      </c>
      <c r="P47" s="25">
        <f t="shared" si="1"/>
        <v>92407.976611528007</v>
      </c>
      <c r="Q47" s="32">
        <v>1398.66</v>
      </c>
      <c r="R47" s="34">
        <f t="shared" si="2"/>
        <v>6.129999999999991E-2</v>
      </c>
      <c r="T47" s="38">
        <f t="shared" si="4"/>
        <v>1.4062962340742668E-2</v>
      </c>
      <c r="U47" s="27">
        <f t="shared" si="5"/>
        <v>1.3599142330943614E-2</v>
      </c>
      <c r="W47" s="62">
        <v>80.69</v>
      </c>
      <c r="X47" s="63">
        <f t="shared" si="6"/>
        <v>2.26869415660352E-2</v>
      </c>
    </row>
    <row r="48" spans="3:24" x14ac:dyDescent="0.3">
      <c r="C48" s="16">
        <v>36830</v>
      </c>
      <c r="D48" s="11">
        <v>60637.35</v>
      </c>
      <c r="E48" s="11">
        <v>34797</v>
      </c>
      <c r="F48" s="12">
        <v>5.8363243296914981E-2</v>
      </c>
      <c r="H48" s="26">
        <v>93461.176956506722</v>
      </c>
      <c r="I48" s="26">
        <f t="shared" si="0"/>
        <v>93461.176956505093</v>
      </c>
      <c r="J48" s="27">
        <f t="shared" si="3"/>
        <v>1.1332828464270082E-2</v>
      </c>
      <c r="P48" s="25">
        <f t="shared" si="1"/>
        <v>93461.176956505093</v>
      </c>
      <c r="Q48" s="32">
        <v>1429.4</v>
      </c>
      <c r="R48" s="34">
        <f t="shared" si="2"/>
        <v>6.0100000000000042E-2</v>
      </c>
      <c r="T48" s="38">
        <f t="shared" si="4"/>
        <v>1.1161519007719223E-2</v>
      </c>
      <c r="U48" s="27">
        <f t="shared" si="5"/>
        <v>2.1742409883525937E-2</v>
      </c>
      <c r="W48" s="62">
        <v>82.06</v>
      </c>
      <c r="X48" s="63">
        <f t="shared" si="6"/>
        <v>1.6836035153624928E-2</v>
      </c>
    </row>
    <row r="49" spans="3:24" x14ac:dyDescent="0.3">
      <c r="C49" s="16">
        <v>36831</v>
      </c>
      <c r="D49" s="11">
        <v>61514.83</v>
      </c>
      <c r="E49" s="11">
        <v>34797</v>
      </c>
      <c r="F49" s="12">
        <v>5.9211859631846032E-2</v>
      </c>
      <c r="H49" s="26">
        <v>94310.870680245353</v>
      </c>
      <c r="I49" s="26">
        <f t="shared" si="0"/>
        <v>94310.870680243912</v>
      </c>
      <c r="J49" s="27">
        <f t="shared" si="3"/>
        <v>9.0503302721014166E-3</v>
      </c>
      <c r="P49" s="25">
        <f t="shared" si="1"/>
        <v>94310.870680243912</v>
      </c>
      <c r="Q49" s="32">
        <v>1421.22</v>
      </c>
      <c r="R49" s="34">
        <f t="shared" si="2"/>
        <v>6.0999999999999943E-2</v>
      </c>
      <c r="T49" s="38">
        <f t="shared" si="4"/>
        <v>8.8602544948115369E-3</v>
      </c>
      <c r="U49" s="27">
        <f t="shared" si="5"/>
        <v>-5.9538346912637596E-3</v>
      </c>
      <c r="W49" s="62">
        <v>83.25</v>
      </c>
      <c r="X49" s="63">
        <f t="shared" si="6"/>
        <v>1.4397441846513162E-2</v>
      </c>
    </row>
    <row r="50" spans="3:24" x14ac:dyDescent="0.3">
      <c r="C50" s="16">
        <v>36832</v>
      </c>
      <c r="D50" s="11">
        <v>60406.45</v>
      </c>
      <c r="E50" s="11">
        <v>34797</v>
      </c>
      <c r="F50" s="12">
        <v>5.9117604483088761E-2</v>
      </c>
      <c r="H50" s="26">
        <v>93205.512965206348</v>
      </c>
      <c r="I50" s="26">
        <f t="shared" si="0"/>
        <v>93205.512965204689</v>
      </c>
      <c r="J50" s="27">
        <f t="shared" si="3"/>
        <v>-1.1789588693332647E-2</v>
      </c>
      <c r="P50" s="25">
        <f t="shared" si="1"/>
        <v>93205.512965204689</v>
      </c>
      <c r="Q50" s="32">
        <v>1428.32</v>
      </c>
      <c r="R50" s="34">
        <f t="shared" si="2"/>
        <v>6.0899999999999954E-2</v>
      </c>
      <c r="T50" s="38">
        <f t="shared" si="4"/>
        <v>-1.1954979188559811E-2</v>
      </c>
      <c r="U50" s="27">
        <f t="shared" si="5"/>
        <v>4.7610925283045891E-3</v>
      </c>
      <c r="W50" s="62">
        <v>81.75</v>
      </c>
      <c r="X50" s="63">
        <f t="shared" si="6"/>
        <v>-1.8182319083190474E-2</v>
      </c>
    </row>
    <row r="51" spans="3:24" x14ac:dyDescent="0.3">
      <c r="C51" s="16">
        <v>36833</v>
      </c>
      <c r="D51" s="11">
        <v>57173.69</v>
      </c>
      <c r="E51" s="11">
        <v>34797</v>
      </c>
      <c r="F51" s="12">
        <v>5.9306105897407507E-2</v>
      </c>
      <c r="H51" s="26">
        <v>89966.29004885396</v>
      </c>
      <c r="I51" s="26">
        <f t="shared" si="0"/>
        <v>89966.290048851399</v>
      </c>
      <c r="J51" s="27">
        <f t="shared" si="3"/>
        <v>-3.5371826775046335E-2</v>
      </c>
      <c r="P51" s="25">
        <f t="shared" si="1"/>
        <v>89966.290048851399</v>
      </c>
      <c r="Q51" s="32">
        <v>1426.69</v>
      </c>
      <c r="R51" s="34">
        <f t="shared" si="2"/>
        <v>6.1099999999999932E-2</v>
      </c>
      <c r="T51" s="38">
        <f t="shared" si="4"/>
        <v>-3.4987785717880082E-2</v>
      </c>
      <c r="U51" s="27">
        <f t="shared" si="5"/>
        <v>-1.3754316205804029E-3</v>
      </c>
      <c r="W51" s="62">
        <v>77.38</v>
      </c>
      <c r="X51" s="63">
        <f t="shared" si="6"/>
        <v>-5.4937460504995948E-2</v>
      </c>
    </row>
    <row r="52" spans="3:24" x14ac:dyDescent="0.3">
      <c r="C52" s="16">
        <v>36836</v>
      </c>
      <c r="D52" s="11">
        <v>60267.89</v>
      </c>
      <c r="E52" s="11">
        <v>34797</v>
      </c>
      <c r="F52" s="12">
        <v>5.9777204035860794E-2</v>
      </c>
      <c r="H52" s="26">
        <v>93045.319145555157</v>
      </c>
      <c r="I52" s="26">
        <f t="shared" si="0"/>
        <v>93045.319145553469</v>
      </c>
      <c r="J52" s="27">
        <f t="shared" si="3"/>
        <v>3.3651631945978422E-2</v>
      </c>
      <c r="P52" s="25">
        <f t="shared" si="1"/>
        <v>93045.319145553469</v>
      </c>
      <c r="Q52" s="32">
        <v>1432.19</v>
      </c>
      <c r="R52" s="34">
        <f t="shared" si="2"/>
        <v>6.1600000000000099E-2</v>
      </c>
      <c r="T52" s="38">
        <f t="shared" si="4"/>
        <v>3.3989253273422504E-2</v>
      </c>
      <c r="U52" s="27">
        <f t="shared" si="5"/>
        <v>3.6200771365888507E-3</v>
      </c>
      <c r="W52" s="62">
        <v>81.56</v>
      </c>
      <c r="X52" s="63">
        <f t="shared" si="6"/>
        <v>5.2610596433887644E-2</v>
      </c>
    </row>
    <row r="53" spans="3:24" x14ac:dyDescent="0.3">
      <c r="C53" s="16">
        <v>36837</v>
      </c>
      <c r="D53" s="11">
        <v>60452.62</v>
      </c>
      <c r="E53" s="11">
        <v>34797</v>
      </c>
      <c r="F53" s="12">
        <v>5.9777204035860794E-2</v>
      </c>
      <c r="H53" s="26">
        <v>93230.061610583391</v>
      </c>
      <c r="I53" s="26">
        <f t="shared" si="0"/>
        <v>93230.061610581717</v>
      </c>
      <c r="J53" s="27">
        <f t="shared" si="3"/>
        <v>1.9835420531666916E-3</v>
      </c>
      <c r="P53" s="25">
        <f t="shared" si="1"/>
        <v>93230.061610581717</v>
      </c>
      <c r="Q53" s="32">
        <v>1431.87</v>
      </c>
      <c r="R53" s="34">
        <f t="shared" si="2"/>
        <v>6.1600000000000099E-2</v>
      </c>
      <c r="T53" s="38">
        <f t="shared" si="4"/>
        <v>1.7485874971150395E-3</v>
      </c>
      <c r="U53" s="27">
        <f t="shared" si="5"/>
        <v>-4.6035711849579108E-4</v>
      </c>
      <c r="W53" s="62">
        <v>81.81</v>
      </c>
      <c r="X53" s="63">
        <f t="shared" si="6"/>
        <v>3.0605398193523318E-3</v>
      </c>
    </row>
    <row r="54" spans="3:24" x14ac:dyDescent="0.3">
      <c r="C54" s="16">
        <v>36838</v>
      </c>
      <c r="D54" s="11">
        <v>60683.55</v>
      </c>
      <c r="E54" s="11">
        <v>34797</v>
      </c>
      <c r="F54" s="12">
        <v>5.9777204035860794E-2</v>
      </c>
      <c r="H54" s="26">
        <v>93461.006705376974</v>
      </c>
      <c r="I54" s="26">
        <f t="shared" si="0"/>
        <v>93461.006705375345</v>
      </c>
      <c r="J54" s="27">
        <f t="shared" si="3"/>
        <v>2.474089571400957E-3</v>
      </c>
      <c r="P54" s="25">
        <f t="shared" si="1"/>
        <v>93461.006705375345</v>
      </c>
      <c r="Q54" s="32">
        <v>1409.28</v>
      </c>
      <c r="R54" s="34">
        <f t="shared" si="2"/>
        <v>6.1600000000000099E-2</v>
      </c>
      <c r="T54" s="38">
        <f t="shared" si="4"/>
        <v>2.2402295796768446E-3</v>
      </c>
      <c r="U54" s="27">
        <f t="shared" si="5"/>
        <v>-1.601349497241622E-2</v>
      </c>
      <c r="W54" s="62">
        <v>82.13</v>
      </c>
      <c r="X54" s="63">
        <f t="shared" si="6"/>
        <v>3.9038722264940207E-3</v>
      </c>
    </row>
    <row r="55" spans="3:24" x14ac:dyDescent="0.3">
      <c r="C55" s="16">
        <v>36839</v>
      </c>
      <c r="D55" s="11">
        <v>61283.9</v>
      </c>
      <c r="E55" s="11">
        <v>34797</v>
      </c>
      <c r="F55" s="12">
        <v>5.9494571785639667E-2</v>
      </c>
      <c r="H55" s="26">
        <v>94070.657810671924</v>
      </c>
      <c r="I55" s="26">
        <f t="shared" si="0"/>
        <v>94070.657810670455</v>
      </c>
      <c r="J55" s="27">
        <f t="shared" si="3"/>
        <v>6.5018700130658625E-3</v>
      </c>
      <c r="P55" s="25">
        <f t="shared" si="1"/>
        <v>94070.657810670455</v>
      </c>
      <c r="Q55" s="32">
        <v>1400.14</v>
      </c>
      <c r="R55" s="34">
        <f t="shared" si="2"/>
        <v>6.129999999999991E-2</v>
      </c>
      <c r="T55" s="38">
        <f t="shared" si="4"/>
        <v>6.2861299778869117E-3</v>
      </c>
      <c r="U55" s="27">
        <f t="shared" si="5"/>
        <v>-6.7225043666595541E-3</v>
      </c>
      <c r="W55" s="62">
        <v>82.94</v>
      </c>
      <c r="X55" s="63">
        <f t="shared" si="6"/>
        <v>9.8140970661343089E-3</v>
      </c>
    </row>
    <row r="56" spans="3:24" x14ac:dyDescent="0.3">
      <c r="C56" s="16">
        <v>36840</v>
      </c>
      <c r="D56" s="11">
        <v>61283.9</v>
      </c>
      <c r="E56" s="11">
        <v>34797</v>
      </c>
      <c r="F56" s="12">
        <v>5.9588791411657446E-2</v>
      </c>
      <c r="H56" s="26">
        <v>94067.569139139116</v>
      </c>
      <c r="I56" s="26">
        <f t="shared" si="0"/>
        <v>94067.569139137617</v>
      </c>
      <c r="J56" s="27">
        <f t="shared" si="3"/>
        <v>-3.2834066560095032E-5</v>
      </c>
      <c r="P56" s="25">
        <f t="shared" si="1"/>
        <v>94067.569139137617</v>
      </c>
      <c r="Q56" s="32">
        <v>1365.98</v>
      </c>
      <c r="R56" s="34">
        <f t="shared" si="2"/>
        <v>6.1399999999999899E-2</v>
      </c>
      <c r="T56" s="38">
        <f t="shared" si="4"/>
        <v>-2.6860275829765357E-4</v>
      </c>
      <c r="U56" s="27">
        <f t="shared" si="5"/>
        <v>-2.4633329474744947E-2</v>
      </c>
      <c r="W56" s="62">
        <v>82.94</v>
      </c>
      <c r="X56" s="63">
        <f t="shared" si="6"/>
        <v>0</v>
      </c>
    </row>
    <row r="57" spans="3:24" x14ac:dyDescent="0.3">
      <c r="C57" s="16">
        <v>36843</v>
      </c>
      <c r="D57" s="11">
        <v>58697.68</v>
      </c>
      <c r="E57" s="11">
        <v>34797</v>
      </c>
      <c r="F57" s="12">
        <v>5.9211859631846032E-2</v>
      </c>
      <c r="H57" s="26">
        <v>91493.520459729392</v>
      </c>
      <c r="I57" s="26">
        <f t="shared" si="0"/>
        <v>91493.520459727311</v>
      </c>
      <c r="J57" s="27">
        <f t="shared" si="3"/>
        <v>-2.7745189545100014E-2</v>
      </c>
      <c r="P57" s="25">
        <f t="shared" si="1"/>
        <v>91493.520459727311</v>
      </c>
      <c r="Q57" s="32">
        <v>1351.26</v>
      </c>
      <c r="R57" s="34">
        <f t="shared" si="2"/>
        <v>6.0999999999999943E-2</v>
      </c>
      <c r="T57" s="38">
        <f t="shared" si="4"/>
        <v>-2.759998075235337E-2</v>
      </c>
      <c r="U57" s="27">
        <f t="shared" si="5"/>
        <v>-1.1012299909785916E-2</v>
      </c>
      <c r="W57" s="62">
        <v>79.44</v>
      </c>
      <c r="X57" s="63">
        <f t="shared" si="6"/>
        <v>-4.3115435081318106E-2</v>
      </c>
    </row>
    <row r="58" spans="3:24" x14ac:dyDescent="0.3">
      <c r="C58" s="16">
        <v>36844</v>
      </c>
      <c r="D58" s="11">
        <v>58790.05</v>
      </c>
      <c r="E58" s="11">
        <v>34797</v>
      </c>
      <c r="F58" s="12">
        <v>5.9306105897407507E-2</v>
      </c>
      <c r="H58" s="26">
        <v>91582.808223684013</v>
      </c>
      <c r="I58" s="26">
        <f t="shared" si="0"/>
        <v>91582.808223681932</v>
      </c>
      <c r="J58" s="27">
        <f t="shared" si="3"/>
        <v>9.7541579161040807E-4</v>
      </c>
      <c r="P58" s="25">
        <f t="shared" si="1"/>
        <v>91582.808223681932</v>
      </c>
      <c r="Q58" s="32">
        <v>1382.95</v>
      </c>
      <c r="R58" s="34">
        <f t="shared" si="2"/>
        <v>6.1099999999999932E-2</v>
      </c>
      <c r="T58" s="38">
        <f t="shared" si="4"/>
        <v>7.4127627969033938E-4</v>
      </c>
      <c r="U58" s="27">
        <f t="shared" si="5"/>
        <v>2.3217569983115638E-2</v>
      </c>
      <c r="W58" s="62">
        <v>79.56</v>
      </c>
      <c r="X58" s="63">
        <f t="shared" si="6"/>
        <v>1.5094342488543404E-3</v>
      </c>
    </row>
    <row r="59" spans="3:24" x14ac:dyDescent="0.3">
      <c r="C59" s="16">
        <v>36845</v>
      </c>
      <c r="D59" s="11">
        <v>59390.44</v>
      </c>
      <c r="E59" s="11">
        <v>34797</v>
      </c>
      <c r="F59" s="12">
        <v>5.9211859631846032E-2</v>
      </c>
      <c r="H59" s="26">
        <v>92186.337975376955</v>
      </c>
      <c r="I59" s="26">
        <f t="shared" si="0"/>
        <v>92186.337975375034</v>
      </c>
      <c r="J59" s="27">
        <f t="shared" si="3"/>
        <v>6.5683705239908902E-3</v>
      </c>
      <c r="P59" s="25">
        <f t="shared" si="1"/>
        <v>92186.337975375034</v>
      </c>
      <c r="Q59" s="32">
        <v>1389.81</v>
      </c>
      <c r="R59" s="34">
        <f t="shared" si="2"/>
        <v>6.0999999999999943E-2</v>
      </c>
      <c r="T59" s="38">
        <f t="shared" si="4"/>
        <v>6.3549895777277321E-3</v>
      </c>
      <c r="U59" s="27">
        <f t="shared" si="5"/>
        <v>4.7254107162224557E-3</v>
      </c>
      <c r="W59" s="62">
        <v>80.38</v>
      </c>
      <c r="X59" s="63">
        <f t="shared" si="6"/>
        <v>1.0253935035283565E-2</v>
      </c>
    </row>
    <row r="60" spans="3:24" x14ac:dyDescent="0.3">
      <c r="C60" s="16">
        <v>36846</v>
      </c>
      <c r="D60" s="11">
        <v>60037</v>
      </c>
      <c r="E60" s="11">
        <v>34797</v>
      </c>
      <c r="F60" s="12">
        <v>5.892906752928747E-2</v>
      </c>
      <c r="H60" s="26">
        <v>92842.220948783273</v>
      </c>
      <c r="I60" s="26">
        <f t="shared" si="0"/>
        <v>92842.220948781513</v>
      </c>
      <c r="J60" s="27">
        <f t="shared" si="3"/>
        <v>7.0895620046702414E-3</v>
      </c>
      <c r="P60" s="25">
        <f t="shared" si="1"/>
        <v>92842.220948781513</v>
      </c>
      <c r="Q60" s="32">
        <v>1372.32</v>
      </c>
      <c r="R60" s="34">
        <f t="shared" si="2"/>
        <v>6.0699999999999976E-2</v>
      </c>
      <c r="T60" s="38">
        <f t="shared" si="4"/>
        <v>6.880137059306124E-3</v>
      </c>
      <c r="U60" s="27">
        <f t="shared" si="5"/>
        <v>-1.2819069374729097E-2</v>
      </c>
      <c r="W60" s="62">
        <v>81.25</v>
      </c>
      <c r="X60" s="63">
        <f t="shared" si="6"/>
        <v>1.0765432188791925E-2</v>
      </c>
    </row>
    <row r="61" spans="3:24" x14ac:dyDescent="0.3">
      <c r="C61" s="16">
        <v>36847</v>
      </c>
      <c r="D61" s="11">
        <v>60221.73</v>
      </c>
      <c r="E61" s="11">
        <v>34797</v>
      </c>
      <c r="F61" s="12">
        <v>5.9117604483088761E-2</v>
      </c>
      <c r="H61" s="26">
        <v>93020.780335752017</v>
      </c>
      <c r="I61" s="26">
        <f t="shared" si="0"/>
        <v>93020.780335750314</v>
      </c>
      <c r="J61" s="27">
        <f t="shared" si="3"/>
        <v>1.9214092172049493E-3</v>
      </c>
      <c r="P61" s="25">
        <f t="shared" si="1"/>
        <v>93020.780335750314</v>
      </c>
      <c r="Q61" s="32">
        <v>1367.72</v>
      </c>
      <c r="R61" s="34">
        <f t="shared" si="2"/>
        <v>6.0899999999999954E-2</v>
      </c>
      <c r="T61" s="38">
        <f t="shared" si="4"/>
        <v>1.6897947682494863E-3</v>
      </c>
      <c r="U61" s="27">
        <f t="shared" si="5"/>
        <v>-3.5854494130097558E-3</v>
      </c>
      <c r="W61" s="62">
        <v>81.5</v>
      </c>
      <c r="X61" s="63">
        <f t="shared" si="6"/>
        <v>3.0721990369700588E-3</v>
      </c>
    </row>
    <row r="62" spans="3:24" x14ac:dyDescent="0.3">
      <c r="C62" s="16">
        <v>36850</v>
      </c>
      <c r="D62" s="11">
        <v>59298.080000000002</v>
      </c>
      <c r="E62" s="11">
        <v>34797</v>
      </c>
      <c r="F62" s="12">
        <v>5.892906752928747E-2</v>
      </c>
      <c r="H62" s="26">
        <v>92103.245045820935</v>
      </c>
      <c r="I62" s="26">
        <f t="shared" si="0"/>
        <v>92103.245045819014</v>
      </c>
      <c r="J62" s="27">
        <f t="shared" si="3"/>
        <v>-9.9127360837257244E-3</v>
      </c>
      <c r="P62" s="25">
        <f t="shared" si="1"/>
        <v>92103.245045819014</v>
      </c>
      <c r="Q62" s="32">
        <v>1342.62</v>
      </c>
      <c r="R62" s="34">
        <f t="shared" si="2"/>
        <v>6.0699999999999976E-2</v>
      </c>
      <c r="T62" s="38">
        <f t="shared" si="4"/>
        <v>-1.0097997624545552E-2</v>
      </c>
      <c r="U62" s="27">
        <f t="shared" si="5"/>
        <v>-1.8585940183438399E-2</v>
      </c>
      <c r="W62" s="62">
        <v>80.25</v>
      </c>
      <c r="X62" s="63">
        <f t="shared" si="6"/>
        <v>-1.5456258236691802E-2</v>
      </c>
    </row>
    <row r="63" spans="3:24" x14ac:dyDescent="0.3">
      <c r="C63" s="16">
        <v>36851</v>
      </c>
      <c r="D63" s="11">
        <v>59390.44</v>
      </c>
      <c r="E63" s="11">
        <v>34797</v>
      </c>
      <c r="F63" s="12">
        <v>5.892906752928747E-2</v>
      </c>
      <c r="H63" s="26">
        <v>92195.612384292195</v>
      </c>
      <c r="I63" s="26">
        <f t="shared" si="0"/>
        <v>92195.61238429026</v>
      </c>
      <c r="J63" s="27">
        <f t="shared" si="3"/>
        <v>1.0023648273566278E-3</v>
      </c>
      <c r="P63" s="25">
        <f t="shared" si="1"/>
        <v>92195.61238429026</v>
      </c>
      <c r="Q63" s="32">
        <v>1347.35</v>
      </c>
      <c r="R63" s="34">
        <f t="shared" si="2"/>
        <v>6.0699999999999976E-2</v>
      </c>
      <c r="T63" s="38">
        <f t="shared" si="4"/>
        <v>7.6940582441253902E-4</v>
      </c>
      <c r="U63" s="27">
        <f t="shared" si="5"/>
        <v>3.2895010272682157E-3</v>
      </c>
      <c r="W63" s="62">
        <v>80.38</v>
      </c>
      <c r="X63" s="63">
        <f t="shared" si="6"/>
        <v>1.6186270109296763E-3</v>
      </c>
    </row>
    <row r="64" spans="3:24" x14ac:dyDescent="0.3">
      <c r="C64" s="16">
        <v>36852</v>
      </c>
      <c r="D64" s="11">
        <v>55834.38</v>
      </c>
      <c r="E64" s="11">
        <v>34797</v>
      </c>
      <c r="F64" s="12">
        <v>5.9211859631846032E-2</v>
      </c>
      <c r="H64" s="26">
        <v>88629.905637820513</v>
      </c>
      <c r="I64" s="26">
        <f t="shared" si="0"/>
        <v>88629.905637817414</v>
      </c>
      <c r="J64" s="27">
        <f t="shared" si="3"/>
        <v>-3.9443205332987501E-2</v>
      </c>
      <c r="P64" s="25">
        <f t="shared" si="1"/>
        <v>88629.905637817414</v>
      </c>
      <c r="Q64" s="32">
        <v>1322.36</v>
      </c>
      <c r="R64" s="34">
        <f t="shared" si="2"/>
        <v>6.0999999999999943E-2</v>
      </c>
      <c r="T64" s="38">
        <f t="shared" si="4"/>
        <v>-3.8908910990548828E-2</v>
      </c>
      <c r="U64" s="27">
        <f t="shared" si="5"/>
        <v>-1.8780980742825748E-2</v>
      </c>
      <c r="W64" s="62">
        <v>75.56</v>
      </c>
      <c r="X64" s="63">
        <f t="shared" si="6"/>
        <v>-6.1838346387746192E-2</v>
      </c>
    </row>
    <row r="65" spans="3:24" x14ac:dyDescent="0.3">
      <c r="C65" s="16">
        <v>36853</v>
      </c>
      <c r="D65" s="11">
        <v>55834.38</v>
      </c>
      <c r="E65" s="11">
        <v>34797</v>
      </c>
      <c r="F65" s="12">
        <v>5.9164733167971634E-2</v>
      </c>
      <c r="H65" s="26">
        <v>88631.450853526694</v>
      </c>
      <c r="I65" s="26">
        <f t="shared" si="0"/>
        <v>88631.450853523624</v>
      </c>
      <c r="J65" s="27">
        <f t="shared" si="3"/>
        <v>1.7434321126766772E-5</v>
      </c>
      <c r="P65" s="25">
        <f t="shared" si="1"/>
        <v>88631.450853523624</v>
      </c>
      <c r="Q65" s="32">
        <v>1322.36</v>
      </c>
      <c r="R65" s="34">
        <f t="shared" si="2"/>
        <v>6.095000000000006E-2</v>
      </c>
      <c r="T65" s="38">
        <f t="shared" si="4"/>
        <v>-2.171809115094625E-4</v>
      </c>
      <c r="U65" s="27">
        <f t="shared" si="5"/>
        <v>-2.3461538461533316E-4</v>
      </c>
      <c r="W65" s="62">
        <v>75.56</v>
      </c>
      <c r="X65" s="63">
        <f t="shared" si="6"/>
        <v>0</v>
      </c>
    </row>
    <row r="66" spans="3:24" x14ac:dyDescent="0.3">
      <c r="C66" s="16">
        <v>36854</v>
      </c>
      <c r="D66" s="11">
        <v>57450.78</v>
      </c>
      <c r="E66" s="11">
        <v>34797</v>
      </c>
      <c r="F66" s="12">
        <v>5.9117604483088761E-2</v>
      </c>
      <c r="H66" s="26">
        <v>90249.590922220508</v>
      </c>
      <c r="I66" s="26">
        <f t="shared" si="0"/>
        <v>90249.590922218034</v>
      </c>
      <c r="J66" s="27">
        <f t="shared" si="3"/>
        <v>1.8092294089458845E-2</v>
      </c>
      <c r="P66" s="25">
        <f t="shared" si="1"/>
        <v>90249.590922218034</v>
      </c>
      <c r="Q66" s="32">
        <v>1341.77</v>
      </c>
      <c r="R66" s="34">
        <f t="shared" si="2"/>
        <v>6.0899999999999954E-2</v>
      </c>
      <c r="T66" s="38">
        <f t="shared" si="4"/>
        <v>1.8022528074295385E-2</v>
      </c>
      <c r="U66" s="27">
        <f t="shared" si="5"/>
        <v>1.444387935206759E-2</v>
      </c>
      <c r="W66" s="62">
        <v>77.75</v>
      </c>
      <c r="X66" s="63">
        <f t="shared" si="6"/>
        <v>2.8571508426034609E-2</v>
      </c>
    </row>
    <row r="67" spans="3:24" x14ac:dyDescent="0.3">
      <c r="C67" s="16">
        <v>36857</v>
      </c>
      <c r="D67" s="11">
        <v>58282.06</v>
      </c>
      <c r="E67" s="11">
        <v>34797</v>
      </c>
      <c r="F67" s="12">
        <v>5.9306105897407507E-2</v>
      </c>
      <c r="H67" s="26">
        <v>91074.772676940833</v>
      </c>
      <c r="I67" s="26">
        <f t="shared" si="0"/>
        <v>91074.772676938606</v>
      </c>
      <c r="J67" s="27">
        <f t="shared" si="3"/>
        <v>9.1017824081196519E-3</v>
      </c>
      <c r="P67" s="25">
        <f t="shared" si="1"/>
        <v>91074.772676938606</v>
      </c>
      <c r="Q67" s="32">
        <v>1348.97</v>
      </c>
      <c r="R67" s="34">
        <f t="shared" si="2"/>
        <v>6.1099999999999932E-2</v>
      </c>
      <c r="T67" s="38">
        <f t="shared" si="4"/>
        <v>8.9090988158502249E-3</v>
      </c>
      <c r="U67" s="27">
        <f t="shared" si="5"/>
        <v>5.1318155725417203E-3</v>
      </c>
      <c r="W67" s="62">
        <v>78.88</v>
      </c>
      <c r="X67" s="63">
        <f t="shared" si="6"/>
        <v>1.4429159235036468E-2</v>
      </c>
    </row>
    <row r="68" spans="3:24" x14ac:dyDescent="0.3">
      <c r="C68" s="16">
        <v>36858</v>
      </c>
      <c r="D68" s="11">
        <v>57958.77</v>
      </c>
      <c r="E68" s="11">
        <v>34797</v>
      </c>
      <c r="F68" s="12">
        <v>5.8740495022600085E-2</v>
      </c>
      <c r="H68" s="26">
        <v>90770.001707798481</v>
      </c>
      <c r="I68" s="26">
        <f t="shared" si="0"/>
        <v>90770.001707796153</v>
      </c>
      <c r="J68" s="27">
        <f t="shared" si="3"/>
        <v>-3.3519935399535213E-3</v>
      </c>
      <c r="P68" s="25">
        <f t="shared" si="1"/>
        <v>90770.001707796153</v>
      </c>
      <c r="Q68" s="32">
        <v>1336.09</v>
      </c>
      <c r="R68" s="34">
        <f t="shared" si="2"/>
        <v>6.0499999999999998E-2</v>
      </c>
      <c r="T68" s="38">
        <f t="shared" si="4"/>
        <v>-3.5813818814408593E-3</v>
      </c>
      <c r="U68" s="27">
        <f t="shared" si="5"/>
        <v>-9.7830255305900726E-3</v>
      </c>
      <c r="W68" s="62">
        <v>78.44</v>
      </c>
      <c r="X68" s="63">
        <f t="shared" si="6"/>
        <v>-5.5937089662344164E-3</v>
      </c>
    </row>
    <row r="69" spans="3:24" x14ac:dyDescent="0.3">
      <c r="C69" s="16">
        <v>36859</v>
      </c>
      <c r="D69" s="11">
        <v>51908.89</v>
      </c>
      <c r="E69" s="11">
        <v>34797</v>
      </c>
      <c r="F69" s="12">
        <v>5.8080211076524724E-2</v>
      </c>
      <c r="H69" s="26">
        <v>84740.79993031318</v>
      </c>
      <c r="I69" s="26">
        <f t="shared" ref="I69:I132" si="7">(D69+E69*EXP(-F69*1)*NORMSDIST(Bsd(H69,E69,1,F69,N$4)-N$4))/NORMSDIST(Bsd(H69,E69,1,F69,N$4))</f>
        <v>84740.799930307941</v>
      </c>
      <c r="J69" s="27">
        <f t="shared" si="3"/>
        <v>-6.8731668379643673E-2</v>
      </c>
      <c r="P69" s="25">
        <f t="shared" si="1"/>
        <v>84740.799930307941</v>
      </c>
      <c r="Q69" s="32">
        <v>1341.91</v>
      </c>
      <c r="R69" s="34">
        <f t="shared" si="2"/>
        <v>5.9800000000000075E-2</v>
      </c>
      <c r="T69" s="38">
        <f t="shared" si="4"/>
        <v>-6.6655537565503575E-2</v>
      </c>
      <c r="U69" s="27">
        <f t="shared" si="5"/>
        <v>4.1233016747490581E-3</v>
      </c>
      <c r="W69" s="62">
        <v>70.25</v>
      </c>
      <c r="X69" s="63">
        <f t="shared" si="6"/>
        <v>-0.11027369311429032</v>
      </c>
    </row>
    <row r="70" spans="3:24" x14ac:dyDescent="0.3">
      <c r="C70" s="16">
        <v>36860</v>
      </c>
      <c r="D70" s="11">
        <v>47844.84</v>
      </c>
      <c r="E70" s="11">
        <v>34797</v>
      </c>
      <c r="F70" s="12">
        <v>5.9117604483088761E-2</v>
      </c>
      <c r="H70" s="26">
        <v>80641.30576342628</v>
      </c>
      <c r="I70" s="26">
        <f t="shared" si="7"/>
        <v>80641.305763417404</v>
      </c>
      <c r="J70" s="27">
        <f t="shared" si="3"/>
        <v>-4.9586188278694258E-2</v>
      </c>
      <c r="P70" s="25">
        <f t="shared" ref="P70:P133" si="8">+I70</f>
        <v>80641.305763417404</v>
      </c>
      <c r="Q70" s="32">
        <v>1314.95</v>
      </c>
      <c r="R70" s="34">
        <f t="shared" ref="R70:R133" si="9">+EXP(F70)-1</f>
        <v>6.0899999999999954E-2</v>
      </c>
      <c r="T70" s="38">
        <f t="shared" si="4"/>
        <v>-4.8606864158256879E-2</v>
      </c>
      <c r="U70" s="27">
        <f t="shared" si="5"/>
        <v>-2.0320766146760927E-2</v>
      </c>
      <c r="W70" s="62">
        <v>64.75</v>
      </c>
      <c r="X70" s="63">
        <f t="shared" si="6"/>
        <v>-8.1526607634207979E-2</v>
      </c>
    </row>
    <row r="71" spans="3:24" x14ac:dyDescent="0.3">
      <c r="C71" s="16">
        <v>36861</v>
      </c>
      <c r="D71" s="11">
        <v>48399.03</v>
      </c>
      <c r="E71" s="11">
        <v>34797</v>
      </c>
      <c r="F71" s="12">
        <v>5.8268908123975824E-2</v>
      </c>
      <c r="H71" s="26">
        <v>81223.573864219084</v>
      </c>
      <c r="I71" s="26">
        <f t="shared" si="7"/>
        <v>81223.573864210761</v>
      </c>
      <c r="J71" s="27">
        <f t="shared" ref="J71:J134" si="10">LN(H71/H70)</f>
        <v>7.194526863462297E-3</v>
      </c>
      <c r="P71" s="25">
        <f t="shared" si="8"/>
        <v>81223.573864210761</v>
      </c>
      <c r="Q71" s="32">
        <v>1315.23</v>
      </c>
      <c r="R71" s="34">
        <f t="shared" si="9"/>
        <v>6.0000000000000053E-2</v>
      </c>
      <c r="T71" s="38">
        <f t="shared" ref="T71:T134" si="11">+P71/P70-(1+$R70/260)</f>
        <v>6.986238880672957E-3</v>
      </c>
      <c r="U71" s="27">
        <f t="shared" ref="U71:U134" si="12">+Q71/Q70-(1+$R70/260)</f>
        <v>-2.129491615643353E-5</v>
      </c>
      <c r="W71" s="62">
        <v>65.5</v>
      </c>
      <c r="X71" s="63">
        <f t="shared" ref="X71:X134" si="13">+LN(W71/W70)</f>
        <v>1.1516442061559081E-2</v>
      </c>
    </row>
    <row r="72" spans="3:24" x14ac:dyDescent="0.3">
      <c r="C72" s="16">
        <v>36864</v>
      </c>
      <c r="D72" s="11">
        <v>48722.33</v>
      </c>
      <c r="E72" s="11">
        <v>34797</v>
      </c>
      <c r="F72" s="12">
        <v>5.7136191370809115E-2</v>
      </c>
      <c r="H72" s="26">
        <v>81584.189946450409</v>
      </c>
      <c r="I72" s="26">
        <f t="shared" si="7"/>
        <v>81584.189946442362</v>
      </c>
      <c r="J72" s="27">
        <f t="shared" si="10"/>
        <v>4.4299689835035775E-3</v>
      </c>
      <c r="P72" s="25">
        <f t="shared" si="8"/>
        <v>81584.189946442362</v>
      </c>
      <c r="Q72" s="32">
        <v>1324.97</v>
      </c>
      <c r="R72" s="34">
        <f t="shared" si="9"/>
        <v>5.8799999999999963E-2</v>
      </c>
      <c r="T72" s="38">
        <f t="shared" si="11"/>
        <v>4.209026570810126E-3</v>
      </c>
      <c r="U72" s="27">
        <f t="shared" si="12"/>
        <v>7.1747796085972482E-3</v>
      </c>
      <c r="W72" s="62">
        <v>65.94</v>
      </c>
      <c r="X72" s="63">
        <f t="shared" si="13"/>
        <v>6.6950950023786215E-3</v>
      </c>
    </row>
    <row r="73" spans="3:24" x14ac:dyDescent="0.3">
      <c r="C73" s="16">
        <v>36865</v>
      </c>
      <c r="D73" s="11">
        <v>50431.05</v>
      </c>
      <c r="E73" s="11">
        <v>34797</v>
      </c>
      <c r="F73" s="12">
        <v>5.6285811010591887E-2</v>
      </c>
      <c r="H73" s="26">
        <v>83321.478339892696</v>
      </c>
      <c r="I73" s="26">
        <f t="shared" si="7"/>
        <v>83321.478339886235</v>
      </c>
      <c r="J73" s="27">
        <f t="shared" si="10"/>
        <v>2.1070866611213452E-2</v>
      </c>
      <c r="P73" s="25">
        <f t="shared" si="8"/>
        <v>83321.478339886235</v>
      </c>
      <c r="Q73" s="32">
        <v>1376.54</v>
      </c>
      <c r="R73" s="34">
        <f t="shared" si="9"/>
        <v>5.7900000000000063E-2</v>
      </c>
      <c r="T73" s="38">
        <f t="shared" si="11"/>
        <v>2.106827090188057E-2</v>
      </c>
      <c r="U73" s="27">
        <f t="shared" si="12"/>
        <v>3.869548211541507E-2</v>
      </c>
      <c r="W73" s="62">
        <v>68.25</v>
      </c>
      <c r="X73" s="63">
        <f t="shared" si="13"/>
        <v>3.4432196421484221E-2</v>
      </c>
    </row>
    <row r="74" spans="3:24" x14ac:dyDescent="0.3">
      <c r="C74" s="16">
        <v>36866</v>
      </c>
      <c r="D74" s="11">
        <v>53155.8</v>
      </c>
      <c r="E74" s="11">
        <v>34797</v>
      </c>
      <c r="F74" s="12">
        <v>5.5623903747997007E-2</v>
      </c>
      <c r="H74" s="26">
        <v>86068.713218598423</v>
      </c>
      <c r="I74" s="26">
        <f t="shared" si="7"/>
        <v>86068.713218593912</v>
      </c>
      <c r="J74" s="27">
        <f t="shared" si="10"/>
        <v>3.2439608991175845E-2</v>
      </c>
      <c r="P74" s="25">
        <f t="shared" si="8"/>
        <v>86068.713218593912</v>
      </c>
      <c r="Q74" s="32">
        <v>1351.46</v>
      </c>
      <c r="R74" s="34">
        <f t="shared" si="9"/>
        <v>5.7199999999999918E-2</v>
      </c>
      <c r="T74" s="38">
        <f t="shared" si="11"/>
        <v>3.2748816761087207E-2</v>
      </c>
      <c r="U74" s="27">
        <f t="shared" si="12"/>
        <v>-1.8442286362351012E-2</v>
      </c>
      <c r="W74" s="62">
        <v>71.94</v>
      </c>
      <c r="X74" s="63">
        <f t="shared" si="13"/>
        <v>5.2655004202408665E-2</v>
      </c>
    </row>
    <row r="75" spans="3:24" x14ac:dyDescent="0.3">
      <c r="C75" s="16">
        <v>36867</v>
      </c>
      <c r="D75" s="11">
        <v>53848.55</v>
      </c>
      <c r="E75" s="11">
        <v>34797</v>
      </c>
      <c r="F75" s="12">
        <v>5.5813064819212686E-2</v>
      </c>
      <c r="H75" s="26">
        <v>86755.379090261995</v>
      </c>
      <c r="I75" s="26">
        <f t="shared" si="7"/>
        <v>86755.379090257891</v>
      </c>
      <c r="J75" s="27">
        <f t="shared" si="10"/>
        <v>7.9464555646766195E-3</v>
      </c>
      <c r="P75" s="25">
        <f t="shared" si="8"/>
        <v>86755.379090257891</v>
      </c>
      <c r="Q75" s="32">
        <v>1343.55</v>
      </c>
      <c r="R75" s="34">
        <f t="shared" si="9"/>
        <v>5.7399999999999896E-2</v>
      </c>
      <c r="T75" s="38">
        <f t="shared" si="11"/>
        <v>7.7581124404637603E-3</v>
      </c>
      <c r="U75" s="27">
        <f t="shared" si="12"/>
        <v>-6.0729294244744603E-3</v>
      </c>
      <c r="W75" s="62">
        <v>72.88</v>
      </c>
      <c r="X75" s="63">
        <f t="shared" si="13"/>
        <v>1.2981814684225053E-2</v>
      </c>
    </row>
    <row r="76" spans="3:24" x14ac:dyDescent="0.3">
      <c r="C76" s="16">
        <v>36868</v>
      </c>
      <c r="D76" s="11">
        <v>53987.08</v>
      </c>
      <c r="E76" s="11">
        <v>34797</v>
      </c>
      <c r="F76" s="12">
        <v>5.6191279649742562E-2</v>
      </c>
      <c r="H76" s="26">
        <v>86881.49543232983</v>
      </c>
      <c r="I76" s="26">
        <f t="shared" si="7"/>
        <v>86881.495432325813</v>
      </c>
      <c r="J76" s="27">
        <f t="shared" si="10"/>
        <v>1.4526449475886361E-3</v>
      </c>
      <c r="P76" s="25">
        <f t="shared" si="8"/>
        <v>86881.495432325813</v>
      </c>
      <c r="Q76" s="32">
        <v>1369.89</v>
      </c>
      <c r="R76" s="34">
        <f t="shared" si="9"/>
        <v>5.7800000000000074E-2</v>
      </c>
      <c r="T76" s="38">
        <f t="shared" si="11"/>
        <v>1.2329313165675426E-3</v>
      </c>
      <c r="U76" s="27">
        <f t="shared" si="12"/>
        <v>1.9384009154851167E-2</v>
      </c>
      <c r="W76" s="62">
        <v>73.06</v>
      </c>
      <c r="X76" s="63">
        <f t="shared" si="13"/>
        <v>2.4667684154337432E-3</v>
      </c>
    </row>
    <row r="77" spans="3:24" x14ac:dyDescent="0.3">
      <c r="C77" s="16">
        <v>36871</v>
      </c>
      <c r="D77" s="11">
        <v>56527.13</v>
      </c>
      <c r="E77" s="11">
        <v>34797</v>
      </c>
      <c r="F77" s="12">
        <v>5.6285811010591887E-2</v>
      </c>
      <c r="H77" s="26">
        <v>89418.826570566103</v>
      </c>
      <c r="I77" s="26">
        <f t="shared" si="7"/>
        <v>89418.826570563222</v>
      </c>
      <c r="J77" s="27">
        <f t="shared" si="10"/>
        <v>2.8786179390184793E-2</v>
      </c>
      <c r="P77" s="25">
        <f t="shared" si="8"/>
        <v>89418.826570563222</v>
      </c>
      <c r="Q77" s="32">
        <v>1380.2</v>
      </c>
      <c r="R77" s="34">
        <f t="shared" si="9"/>
        <v>5.7900000000000063E-2</v>
      </c>
      <c r="T77" s="38">
        <f t="shared" si="11"/>
        <v>2.8982198118872704E-2</v>
      </c>
      <c r="U77" s="27">
        <f t="shared" si="12"/>
        <v>7.3038440425030604E-3</v>
      </c>
      <c r="W77" s="62">
        <v>76.5</v>
      </c>
      <c r="X77" s="63">
        <f t="shared" si="13"/>
        <v>4.6009719465353732E-2</v>
      </c>
    </row>
    <row r="78" spans="3:24" x14ac:dyDescent="0.3">
      <c r="C78" s="16">
        <v>36872</v>
      </c>
      <c r="D78" s="11">
        <v>57035.12</v>
      </c>
      <c r="E78" s="11">
        <v>34797</v>
      </c>
      <c r="F78" s="12">
        <v>5.6285811010591887E-2</v>
      </c>
      <c r="H78" s="26">
        <v>89926.87782531642</v>
      </c>
      <c r="I78" s="26">
        <f t="shared" si="7"/>
        <v>89926.877825313728</v>
      </c>
      <c r="J78" s="27">
        <f t="shared" si="10"/>
        <v>5.6656234445977005E-3</v>
      </c>
      <c r="P78" s="25">
        <f t="shared" si="8"/>
        <v>89926.877825313728</v>
      </c>
      <c r="Q78" s="32">
        <v>1371.18</v>
      </c>
      <c r="R78" s="34">
        <f t="shared" si="9"/>
        <v>5.7900000000000063E-2</v>
      </c>
      <c r="T78" s="38">
        <f t="shared" si="11"/>
        <v>5.4590111348102877E-3</v>
      </c>
      <c r="U78" s="27">
        <f t="shared" si="12"/>
        <v>-6.7579770490340252E-3</v>
      </c>
      <c r="W78" s="62">
        <v>77.19</v>
      </c>
      <c r="X78" s="63">
        <f t="shared" si="13"/>
        <v>8.979174129272351E-3</v>
      </c>
    </row>
    <row r="79" spans="3:24" x14ac:dyDescent="0.3">
      <c r="C79" s="16">
        <v>36873</v>
      </c>
      <c r="D79" s="11">
        <v>55049.3</v>
      </c>
      <c r="E79" s="11">
        <v>34797</v>
      </c>
      <c r="F79" s="12">
        <v>5.5813064819212686E-2</v>
      </c>
      <c r="H79" s="26">
        <v>87956.337478287474</v>
      </c>
      <c r="I79" s="26">
        <f t="shared" si="7"/>
        <v>87956.337478283967</v>
      </c>
      <c r="J79" s="27">
        <f t="shared" si="10"/>
        <v>-2.2156345163017725E-2</v>
      </c>
      <c r="P79" s="25">
        <f t="shared" si="8"/>
        <v>87956.337478283967</v>
      </c>
      <c r="Q79" s="32">
        <v>1359.99</v>
      </c>
      <c r="R79" s="34">
        <f t="shared" si="9"/>
        <v>5.7399999999999896E-2</v>
      </c>
      <c r="T79" s="38">
        <f t="shared" si="11"/>
        <v>-2.2135388430175262E-2</v>
      </c>
      <c r="U79" s="27">
        <f t="shared" si="12"/>
        <v>-8.3835464625078293E-3</v>
      </c>
      <c r="W79" s="62">
        <v>74.5</v>
      </c>
      <c r="X79" s="63">
        <f t="shared" si="13"/>
        <v>-3.5470789576248614E-2</v>
      </c>
    </row>
    <row r="80" spans="3:24" x14ac:dyDescent="0.3">
      <c r="C80" s="16">
        <v>36874</v>
      </c>
      <c r="D80" s="11">
        <v>56527.13</v>
      </c>
      <c r="E80" s="11">
        <v>34797</v>
      </c>
      <c r="F80" s="12">
        <v>5.5434706888100524E-2</v>
      </c>
      <c r="H80" s="26">
        <v>89446.826689964641</v>
      </c>
      <c r="I80" s="26">
        <f t="shared" si="7"/>
        <v>89446.826689961745</v>
      </c>
      <c r="J80" s="27">
        <f t="shared" si="10"/>
        <v>1.6803807200365214E-2</v>
      </c>
      <c r="P80" s="25">
        <f t="shared" si="8"/>
        <v>89446.826689961745</v>
      </c>
      <c r="Q80" s="32">
        <v>1340.93</v>
      </c>
      <c r="R80" s="34">
        <f t="shared" si="9"/>
        <v>5.699999999999994E-2</v>
      </c>
      <c r="T80" s="38">
        <f t="shared" si="11"/>
        <v>1.6725016080559651E-2</v>
      </c>
      <c r="U80" s="27">
        <f t="shared" si="12"/>
        <v>-1.4235578163187768E-2</v>
      </c>
      <c r="W80" s="62">
        <v>76.5</v>
      </c>
      <c r="X80" s="63">
        <f t="shared" si="13"/>
        <v>2.6491615446976285E-2</v>
      </c>
    </row>
    <row r="81" spans="3:24" x14ac:dyDescent="0.3">
      <c r="C81" s="16">
        <v>36875</v>
      </c>
      <c r="D81" s="11">
        <v>57312.21</v>
      </c>
      <c r="E81" s="11">
        <v>34797</v>
      </c>
      <c r="F81" s="12">
        <v>5.57184887563437E-2</v>
      </c>
      <c r="H81" s="26">
        <v>90222.661192657208</v>
      </c>
      <c r="I81" s="26">
        <f t="shared" si="7"/>
        <v>90222.661192654603</v>
      </c>
      <c r="J81" s="27">
        <f t="shared" si="10"/>
        <v>8.6362947209605665E-3</v>
      </c>
      <c r="P81" s="25">
        <f t="shared" si="8"/>
        <v>90222.661192654603</v>
      </c>
      <c r="Q81" s="32">
        <v>1312.15</v>
      </c>
      <c r="R81" s="34">
        <f t="shared" si="9"/>
        <v>5.7299999999999907E-2</v>
      </c>
      <c r="T81" s="38">
        <f t="shared" si="11"/>
        <v>8.4544643343644754E-3</v>
      </c>
      <c r="U81" s="27">
        <f t="shared" si="12"/>
        <v>-2.168194694382608E-2</v>
      </c>
      <c r="W81" s="62">
        <v>77.56</v>
      </c>
      <c r="X81" s="63">
        <f t="shared" si="13"/>
        <v>1.3761089541961029E-2</v>
      </c>
    </row>
    <row r="82" spans="3:24" x14ac:dyDescent="0.3">
      <c r="C82" s="16">
        <v>36878</v>
      </c>
      <c r="D82" s="11">
        <v>58790.05</v>
      </c>
      <c r="E82" s="11">
        <v>34797</v>
      </c>
      <c r="F82" s="12">
        <v>5.4298773407378875E-2</v>
      </c>
      <c r="H82" s="26">
        <v>91747.39824275377</v>
      </c>
      <c r="I82" s="26">
        <f t="shared" si="7"/>
        <v>91747.398242751602</v>
      </c>
      <c r="J82" s="27">
        <f t="shared" si="10"/>
        <v>1.6758501255926532E-2</v>
      </c>
      <c r="P82" s="25">
        <f t="shared" si="8"/>
        <v>91747.398242751602</v>
      </c>
      <c r="Q82" s="32">
        <v>1322.74</v>
      </c>
      <c r="R82" s="34">
        <f t="shared" si="9"/>
        <v>5.5800000000000072E-2</v>
      </c>
      <c r="T82" s="38">
        <f t="shared" si="11"/>
        <v>1.6679328050385633E-2</v>
      </c>
      <c r="U82" s="27">
        <f t="shared" si="12"/>
        <v>7.8503390061526179E-3</v>
      </c>
      <c r="W82" s="62">
        <v>79.56</v>
      </c>
      <c r="X82" s="63">
        <f t="shared" si="13"/>
        <v>2.5459623611320349E-2</v>
      </c>
    </row>
    <row r="83" spans="3:24" x14ac:dyDescent="0.3">
      <c r="C83" s="16">
        <v>36879</v>
      </c>
      <c r="D83" s="11">
        <v>58928.62</v>
      </c>
      <c r="E83" s="11">
        <v>34797</v>
      </c>
      <c r="F83" s="12">
        <v>5.4298773407378875E-2</v>
      </c>
      <c r="H83" s="26">
        <v>91885.980608344689</v>
      </c>
      <c r="I83" s="26">
        <f t="shared" si="7"/>
        <v>91885.980608342565</v>
      </c>
      <c r="J83" s="27">
        <f t="shared" si="10"/>
        <v>1.5093377115498019E-3</v>
      </c>
      <c r="P83" s="25">
        <f t="shared" si="8"/>
        <v>91885.980608342565</v>
      </c>
      <c r="Q83" s="32">
        <v>1305.5999999999999</v>
      </c>
      <c r="R83" s="34">
        <f t="shared" si="9"/>
        <v>5.5800000000000072E-2</v>
      </c>
      <c r="T83" s="38">
        <f t="shared" si="11"/>
        <v>1.2958619503853352E-3</v>
      </c>
      <c r="U83" s="27">
        <f t="shared" si="12"/>
        <v>-1.3172566304675337E-2</v>
      </c>
      <c r="W83" s="62">
        <v>79.75</v>
      </c>
      <c r="X83" s="63">
        <f t="shared" si="13"/>
        <v>2.3852876791824939E-3</v>
      </c>
    </row>
    <row r="84" spans="3:24" x14ac:dyDescent="0.3">
      <c r="C84" s="16">
        <v>36880</v>
      </c>
      <c r="D84" s="11">
        <v>58928.62</v>
      </c>
      <c r="E84" s="11">
        <v>34797</v>
      </c>
      <c r="F84" s="12">
        <v>5.3161548114232342E-2</v>
      </c>
      <c r="H84" s="26">
        <v>91923.475921158693</v>
      </c>
      <c r="I84" s="26">
        <f t="shared" si="7"/>
        <v>91923.47592115654</v>
      </c>
      <c r="J84" s="27">
        <f t="shared" si="10"/>
        <v>4.079802426060217E-4</v>
      </c>
      <c r="P84" s="25">
        <f t="shared" si="8"/>
        <v>91923.47592115654</v>
      </c>
      <c r="Q84" s="32">
        <v>1264.74</v>
      </c>
      <c r="R84" s="34">
        <f t="shared" si="9"/>
        <v>5.4599999999999982E-2</v>
      </c>
      <c r="T84" s="38">
        <f t="shared" si="11"/>
        <v>1.9344809324839396E-4</v>
      </c>
      <c r="U84" s="27">
        <f t="shared" si="12"/>
        <v>-3.1510571266968324E-2</v>
      </c>
      <c r="W84" s="62">
        <v>79.75</v>
      </c>
      <c r="X84" s="63">
        <f t="shared" si="13"/>
        <v>0</v>
      </c>
    </row>
    <row r="85" spans="3:24" x14ac:dyDescent="0.3">
      <c r="C85" s="16">
        <v>36881</v>
      </c>
      <c r="D85" s="11">
        <v>58605.32</v>
      </c>
      <c r="E85" s="11">
        <v>34797</v>
      </c>
      <c r="F85" s="12">
        <v>5.1928092860359105E-2</v>
      </c>
      <c r="H85" s="26">
        <v>91640.862293376413</v>
      </c>
      <c r="I85" s="26">
        <f t="shared" si="7"/>
        <v>91640.862293374143</v>
      </c>
      <c r="J85" s="27">
        <f t="shared" si="10"/>
        <v>-3.0791803443711374E-3</v>
      </c>
      <c r="P85" s="25">
        <f t="shared" si="8"/>
        <v>91640.862293374143</v>
      </c>
      <c r="Q85" s="32">
        <v>1274.8599999999999</v>
      </c>
      <c r="R85" s="34">
        <f t="shared" si="9"/>
        <v>5.3299999999999903E-2</v>
      </c>
      <c r="T85" s="38">
        <f t="shared" si="11"/>
        <v>-3.2844445306311476E-3</v>
      </c>
      <c r="U85" s="27">
        <f t="shared" si="12"/>
        <v>7.7916446067964884E-3</v>
      </c>
      <c r="W85" s="62">
        <v>79.31</v>
      </c>
      <c r="X85" s="63">
        <f t="shared" si="13"/>
        <v>-5.5325175697256666E-3</v>
      </c>
    </row>
    <row r="86" spans="3:24" x14ac:dyDescent="0.3">
      <c r="C86" s="16">
        <v>36882</v>
      </c>
      <c r="D86" s="11">
        <v>59990.79</v>
      </c>
      <c r="E86" s="11">
        <v>34797</v>
      </c>
      <c r="F86" s="12">
        <v>5.2971884766105724E-2</v>
      </c>
      <c r="H86" s="26">
        <v>92991.991055103339</v>
      </c>
      <c r="I86" s="26">
        <f t="shared" si="7"/>
        <v>92991.991055101476</v>
      </c>
      <c r="J86" s="27">
        <f t="shared" si="10"/>
        <v>1.4636104642664887E-2</v>
      </c>
      <c r="P86" s="25">
        <f t="shared" si="8"/>
        <v>92991.991055101476</v>
      </c>
      <c r="Q86" s="32">
        <v>1305.97</v>
      </c>
      <c r="R86" s="34">
        <f t="shared" si="9"/>
        <v>5.4400000000000004E-2</v>
      </c>
      <c r="T86" s="38">
        <f t="shared" si="11"/>
        <v>1.4538736886738457E-2</v>
      </c>
      <c r="U86" s="27">
        <f t="shared" si="12"/>
        <v>2.4197679509907033E-2</v>
      </c>
      <c r="W86" s="62">
        <v>81.19</v>
      </c>
      <c r="X86" s="63">
        <f t="shared" si="13"/>
        <v>2.342786277912675E-2</v>
      </c>
    </row>
    <row r="87" spans="3:24" x14ac:dyDescent="0.3">
      <c r="C87" s="16">
        <v>36885</v>
      </c>
      <c r="D87" s="11">
        <v>59990.79</v>
      </c>
      <c r="E87" s="11">
        <v>34797</v>
      </c>
      <c r="F87" s="12">
        <v>5.2355230333928124E-2</v>
      </c>
      <c r="H87" s="26">
        <v>93012.344847610293</v>
      </c>
      <c r="I87" s="26">
        <f t="shared" si="7"/>
        <v>93012.344847608401</v>
      </c>
      <c r="J87" s="27">
        <f t="shared" si="10"/>
        <v>2.1885288307303016E-4</v>
      </c>
      <c r="P87" s="25">
        <f t="shared" si="8"/>
        <v>93012.344847608401</v>
      </c>
      <c r="Q87" s="32">
        <v>1305.97</v>
      </c>
      <c r="R87" s="34">
        <f t="shared" si="9"/>
        <v>5.3749999999999964E-2</v>
      </c>
      <c r="T87" s="38">
        <f t="shared" si="11"/>
        <v>9.6460638812079225E-6</v>
      </c>
      <c r="U87" s="27">
        <f t="shared" si="12"/>
        <v>-2.0923076923073936E-4</v>
      </c>
      <c r="W87" s="62">
        <v>81.19</v>
      </c>
      <c r="X87" s="63">
        <f t="shared" si="13"/>
        <v>0</v>
      </c>
    </row>
    <row r="88" spans="3:24" x14ac:dyDescent="0.3">
      <c r="C88" s="16">
        <v>36886</v>
      </c>
      <c r="D88" s="11">
        <v>61699.56</v>
      </c>
      <c r="E88" s="11">
        <v>34797</v>
      </c>
      <c r="F88" s="12">
        <v>5.1738195404414371E-2</v>
      </c>
      <c r="H88" s="26">
        <v>94741.609416565072</v>
      </c>
      <c r="I88" s="26">
        <f t="shared" si="7"/>
        <v>94741.609416563573</v>
      </c>
      <c r="J88" s="27">
        <f t="shared" si="10"/>
        <v>1.8421060430096163E-2</v>
      </c>
      <c r="P88" s="25">
        <f t="shared" si="8"/>
        <v>94741.609416563573</v>
      </c>
      <c r="Q88" s="32">
        <v>1315.19</v>
      </c>
      <c r="R88" s="34">
        <f t="shared" si="9"/>
        <v>5.3099999999999925E-2</v>
      </c>
      <c r="T88" s="38">
        <f t="shared" si="11"/>
        <v>1.8385044030000408E-2</v>
      </c>
      <c r="U88" s="27">
        <f t="shared" si="12"/>
        <v>6.8531557518991537E-3</v>
      </c>
      <c r="W88" s="62">
        <v>83.5</v>
      </c>
      <c r="X88" s="63">
        <f t="shared" si="13"/>
        <v>2.8054544982454816E-2</v>
      </c>
    </row>
    <row r="89" spans="3:24" x14ac:dyDescent="0.3">
      <c r="C89" s="16">
        <v>36887</v>
      </c>
      <c r="D89" s="11">
        <v>61191.54</v>
      </c>
      <c r="E89" s="11">
        <v>34797</v>
      </c>
      <c r="F89" s="12">
        <v>5.1833148640017201E-2</v>
      </c>
      <c r="H89" s="26">
        <v>94230.421179687633</v>
      </c>
      <c r="I89" s="26">
        <f t="shared" si="7"/>
        <v>94230.421179686033</v>
      </c>
      <c r="J89" s="27">
        <f t="shared" si="10"/>
        <v>-5.4102131638689996E-3</v>
      </c>
      <c r="P89" s="25">
        <f t="shared" si="8"/>
        <v>94230.421179686033</v>
      </c>
      <c r="Q89" s="32">
        <v>1328.92</v>
      </c>
      <c r="R89" s="34">
        <f t="shared" si="9"/>
        <v>5.3199999999999914E-2</v>
      </c>
      <c r="T89" s="38">
        <f t="shared" si="11"/>
        <v>-5.5998350873918135E-3</v>
      </c>
      <c r="U89" s="27">
        <f t="shared" si="12"/>
        <v>1.0235325492602199E-2</v>
      </c>
      <c r="W89" s="62">
        <v>82.81</v>
      </c>
      <c r="X89" s="63">
        <f t="shared" si="13"/>
        <v>-8.2978048112010566E-3</v>
      </c>
    </row>
    <row r="90" spans="3:24" x14ac:dyDescent="0.3">
      <c r="C90" s="16">
        <v>36888</v>
      </c>
      <c r="D90" s="11">
        <v>62530.84</v>
      </c>
      <c r="E90" s="11">
        <v>34797</v>
      </c>
      <c r="F90" s="12">
        <v>5.2592450119170631E-2</v>
      </c>
      <c r="H90" s="26">
        <v>95544.724190918234</v>
      </c>
      <c r="I90" s="26">
        <f t="shared" si="7"/>
        <v>95544.724190916924</v>
      </c>
      <c r="J90" s="27">
        <f t="shared" si="10"/>
        <v>1.3851382089023524E-2</v>
      </c>
      <c r="P90" s="25">
        <f t="shared" si="8"/>
        <v>95544.724190916924</v>
      </c>
      <c r="Q90" s="32">
        <v>1334.22</v>
      </c>
      <c r="R90" s="34">
        <f t="shared" si="9"/>
        <v>5.4000000000000048E-2</v>
      </c>
      <c r="T90" s="38">
        <f t="shared" si="11"/>
        <v>1.3743141558173688E-2</v>
      </c>
      <c r="U90" s="27">
        <f t="shared" si="12"/>
        <v>3.7835855605130586E-3</v>
      </c>
      <c r="W90" s="62">
        <v>84.63</v>
      </c>
      <c r="X90" s="63">
        <f t="shared" si="13"/>
        <v>2.173998663640582E-2</v>
      </c>
    </row>
    <row r="91" spans="3:24" x14ac:dyDescent="0.3">
      <c r="C91" s="16">
        <v>36889</v>
      </c>
      <c r="D91" s="11">
        <v>61422.47</v>
      </c>
      <c r="E91" s="11">
        <v>34797</v>
      </c>
      <c r="F91" s="12">
        <v>5.4488185284069776E-2</v>
      </c>
      <c r="H91" s="26">
        <v>94373.772504910463</v>
      </c>
      <c r="I91" s="26">
        <f t="shared" si="7"/>
        <v>94373.77250490892</v>
      </c>
      <c r="J91" s="27">
        <f t="shared" si="10"/>
        <v>-1.2331253082060329E-2</v>
      </c>
      <c r="P91" s="25">
        <f t="shared" si="8"/>
        <v>94373.77250490892</v>
      </c>
      <c r="Q91" s="32">
        <v>1320.28</v>
      </c>
      <c r="R91" s="34">
        <f t="shared" si="9"/>
        <v>5.600000000000005E-2</v>
      </c>
      <c r="T91" s="38">
        <f t="shared" si="11"/>
        <v>-1.2463227042066705E-2</v>
      </c>
      <c r="U91" s="27">
        <f t="shared" si="12"/>
        <v>-1.0655744353082253E-2</v>
      </c>
      <c r="W91" s="62">
        <v>83.13</v>
      </c>
      <c r="X91" s="63">
        <f t="shared" si="13"/>
        <v>-1.7883166139017883E-2</v>
      </c>
    </row>
    <row r="92" spans="3:24" x14ac:dyDescent="0.3">
      <c r="C92" s="16">
        <v>36892</v>
      </c>
      <c r="D92" s="11">
        <v>61422.47</v>
      </c>
      <c r="E92" s="11">
        <v>34797</v>
      </c>
      <c r="F92" s="12">
        <v>5.2165413980679434E-2</v>
      </c>
      <c r="H92" s="26">
        <v>94450.391101732152</v>
      </c>
      <c r="I92" s="26">
        <f t="shared" si="7"/>
        <v>94450.391101730595</v>
      </c>
      <c r="J92" s="27">
        <f t="shared" si="10"/>
        <v>8.1153385841332406E-4</v>
      </c>
      <c r="P92" s="25">
        <f t="shared" si="8"/>
        <v>94450.391101730595</v>
      </c>
      <c r="Q92" s="32">
        <v>1320.28</v>
      </c>
      <c r="R92" s="34">
        <f t="shared" si="9"/>
        <v>5.3549999999999986E-2</v>
      </c>
      <c r="T92" s="38">
        <f t="shared" si="11"/>
        <v>5.9647862572620447E-4</v>
      </c>
      <c r="U92" s="27">
        <f t="shared" si="12"/>
        <v>-2.1538461538450626E-4</v>
      </c>
      <c r="W92" s="62">
        <v>83.13</v>
      </c>
      <c r="X92" s="63">
        <f t="shared" si="13"/>
        <v>0</v>
      </c>
    </row>
    <row r="93" spans="3:24" x14ac:dyDescent="0.3">
      <c r="C93" s="16">
        <v>36893</v>
      </c>
      <c r="D93" s="11">
        <v>59020.98</v>
      </c>
      <c r="E93" s="11">
        <v>34797</v>
      </c>
      <c r="F93" s="12">
        <v>4.9837234847171584E-2</v>
      </c>
      <c r="H93" s="26">
        <v>92125.694336088942</v>
      </c>
      <c r="I93" s="26">
        <f t="shared" si="7"/>
        <v>92125.694336086744</v>
      </c>
      <c r="J93" s="27">
        <f t="shared" si="10"/>
        <v>-2.4920847400371992E-2</v>
      </c>
      <c r="P93" s="25">
        <f t="shared" si="8"/>
        <v>92125.694336086744</v>
      </c>
      <c r="Q93" s="32">
        <v>1283.27</v>
      </c>
      <c r="R93" s="34">
        <f t="shared" si="9"/>
        <v>5.1099999999999923E-2</v>
      </c>
      <c r="T93" s="38">
        <f t="shared" si="11"/>
        <v>-2.481884813985169E-2</v>
      </c>
      <c r="U93" s="27">
        <f t="shared" si="12"/>
        <v>-2.8237894158814836E-2</v>
      </c>
      <c r="W93" s="62">
        <v>79.88</v>
      </c>
      <c r="X93" s="63">
        <f t="shared" si="13"/>
        <v>-3.9880138995382237E-2</v>
      </c>
    </row>
    <row r="94" spans="3:24" x14ac:dyDescent="0.3">
      <c r="C94" s="16">
        <v>36894</v>
      </c>
      <c r="D94" s="11">
        <v>55464.92</v>
      </c>
      <c r="E94" s="11">
        <v>34797</v>
      </c>
      <c r="F94" s="12">
        <v>4.917104400644938E-2</v>
      </c>
      <c r="H94" s="26">
        <v>88591.261862051091</v>
      </c>
      <c r="I94" s="26">
        <f t="shared" si="7"/>
        <v>88591.261862047599</v>
      </c>
      <c r="J94" s="27">
        <f t="shared" si="10"/>
        <v>-3.9120659206663612E-2</v>
      </c>
      <c r="P94" s="25">
        <f t="shared" si="8"/>
        <v>88591.261862047599</v>
      </c>
      <c r="Q94" s="32">
        <v>1347.56</v>
      </c>
      <c r="R94" s="34">
        <f t="shared" si="9"/>
        <v>5.04E-2</v>
      </c>
      <c r="T94" s="38">
        <f t="shared" si="11"/>
        <v>-3.856186639214898E-2</v>
      </c>
      <c r="U94" s="27">
        <f t="shared" si="12"/>
        <v>4.9902037831836887E-2</v>
      </c>
      <c r="W94" s="62">
        <v>75.06</v>
      </c>
      <c r="X94" s="63">
        <f t="shared" si="13"/>
        <v>-6.2237714840739568E-2</v>
      </c>
    </row>
    <row r="95" spans="3:24" x14ac:dyDescent="0.3">
      <c r="C95" s="16">
        <v>36895</v>
      </c>
      <c r="D95" s="11">
        <v>53202</v>
      </c>
      <c r="E95" s="11">
        <v>34797</v>
      </c>
      <c r="F95" s="12">
        <v>4.707440738592885E-2</v>
      </c>
      <c r="H95" s="26">
        <v>86397.418644750185</v>
      </c>
      <c r="I95" s="26">
        <f t="shared" si="7"/>
        <v>86397.418644745369</v>
      </c>
      <c r="J95" s="27">
        <f t="shared" si="10"/>
        <v>-2.5075429598678537E-2</v>
      </c>
      <c r="P95" s="25">
        <f t="shared" si="8"/>
        <v>86397.418644745369</v>
      </c>
      <c r="Q95" s="32">
        <v>1333.34</v>
      </c>
      <c r="R95" s="34">
        <f t="shared" si="9"/>
        <v>4.8200000000000021E-2</v>
      </c>
      <c r="T95" s="38">
        <f t="shared" si="11"/>
        <v>-2.4957498586277271E-2</v>
      </c>
      <c r="U95" s="27">
        <f t="shared" si="12"/>
        <v>-1.0746251983642319E-2</v>
      </c>
      <c r="W95" s="62">
        <v>72</v>
      </c>
      <c r="X95" s="63">
        <f t="shared" si="13"/>
        <v>-4.1621674690819545E-2</v>
      </c>
    </row>
    <row r="96" spans="3:24" x14ac:dyDescent="0.3">
      <c r="C96" s="16">
        <v>36896</v>
      </c>
      <c r="D96" s="11">
        <v>52740.18</v>
      </c>
      <c r="E96" s="11">
        <v>34797</v>
      </c>
      <c r="F96" s="12">
        <v>4.7741995985421101E-2</v>
      </c>
      <c r="H96" s="26">
        <v>85913.345753895686</v>
      </c>
      <c r="I96" s="26">
        <f t="shared" si="7"/>
        <v>85913.345753890593</v>
      </c>
      <c r="J96" s="27">
        <f t="shared" si="10"/>
        <v>-5.6186178038565076E-3</v>
      </c>
      <c r="P96" s="25">
        <f t="shared" si="8"/>
        <v>85913.345753890593</v>
      </c>
      <c r="Q96" s="32">
        <v>1298.3499999999999</v>
      </c>
      <c r="R96" s="34">
        <f t="shared" si="9"/>
        <v>4.8899999999999944E-2</v>
      </c>
      <c r="T96" s="38">
        <f t="shared" si="11"/>
        <v>-5.7882475069856998E-3</v>
      </c>
      <c r="U96" s="27">
        <f t="shared" si="12"/>
        <v>-2.6427753403540644E-2</v>
      </c>
      <c r="W96" s="62">
        <v>71.38</v>
      </c>
      <c r="X96" s="63">
        <f t="shared" si="13"/>
        <v>-8.6484009540410359E-3</v>
      </c>
    </row>
    <row r="97" spans="3:24" x14ac:dyDescent="0.3">
      <c r="C97" s="16">
        <v>36899</v>
      </c>
      <c r="D97" s="11">
        <v>52647.81</v>
      </c>
      <c r="E97" s="11">
        <v>34797</v>
      </c>
      <c r="F97" s="12">
        <v>4.5068963367578145E-2</v>
      </c>
      <c r="H97" s="26">
        <v>85909.710057120625</v>
      </c>
      <c r="I97" s="26">
        <f t="shared" si="7"/>
        <v>85909.710057115386</v>
      </c>
      <c r="J97" s="27">
        <f t="shared" si="10"/>
        <v>-4.2319079455843888E-5</v>
      </c>
      <c r="P97" s="25">
        <f t="shared" si="8"/>
        <v>85909.710057115386</v>
      </c>
      <c r="Q97" s="32">
        <v>1295.8599999999999</v>
      </c>
      <c r="R97" s="34">
        <f t="shared" si="9"/>
        <v>4.610000000000003E-2</v>
      </c>
      <c r="T97" s="38">
        <f t="shared" si="11"/>
        <v>-2.3039510709477184E-4</v>
      </c>
      <c r="U97" s="27">
        <f t="shared" si="12"/>
        <v>-2.1058956930541939E-3</v>
      </c>
      <c r="W97" s="62">
        <v>71.25</v>
      </c>
      <c r="X97" s="63">
        <f t="shared" si="13"/>
        <v>-1.8228989132542746E-3</v>
      </c>
    </row>
    <row r="98" spans="3:24" x14ac:dyDescent="0.3">
      <c r="C98" s="16">
        <v>36900</v>
      </c>
      <c r="D98" s="11">
        <v>50708.15</v>
      </c>
      <c r="E98" s="11">
        <v>34797</v>
      </c>
      <c r="F98" s="12">
        <v>4.6024438311279253E-2</v>
      </c>
      <c r="H98" s="26">
        <v>83937.737258125519</v>
      </c>
      <c r="I98" s="26">
        <f t="shared" si="7"/>
        <v>83937.737258118796</v>
      </c>
      <c r="J98" s="27">
        <f t="shared" si="10"/>
        <v>-2.3221560799420064E-2</v>
      </c>
      <c r="P98" s="25">
        <f t="shared" si="8"/>
        <v>83937.737258118796</v>
      </c>
      <c r="Q98" s="32">
        <v>1300.8</v>
      </c>
      <c r="R98" s="34">
        <f t="shared" si="9"/>
        <v>4.709999999999992E-2</v>
      </c>
      <c r="T98" s="38">
        <f t="shared" si="11"/>
        <v>-2.3131322991458036E-2</v>
      </c>
      <c r="U98" s="27">
        <f t="shared" si="12"/>
        <v>3.6348325080226562E-3</v>
      </c>
      <c r="W98" s="62">
        <v>68.63</v>
      </c>
      <c r="X98" s="63">
        <f t="shared" si="13"/>
        <v>-3.7465062228216668E-2</v>
      </c>
    </row>
    <row r="99" spans="3:24" x14ac:dyDescent="0.3">
      <c r="C99" s="16">
        <v>36901</v>
      </c>
      <c r="D99" s="11">
        <v>50939.08</v>
      </c>
      <c r="E99" s="11">
        <v>34797</v>
      </c>
      <c r="F99" s="12">
        <v>4.707440738592885E-2</v>
      </c>
      <c r="H99" s="26">
        <v>84133.888263154964</v>
      </c>
      <c r="I99" s="26">
        <f t="shared" si="7"/>
        <v>84133.888263148488</v>
      </c>
      <c r="J99" s="27">
        <f t="shared" si="10"/>
        <v>2.3341369309281741E-3</v>
      </c>
      <c r="P99" s="25">
        <f t="shared" si="8"/>
        <v>84133.888263148488</v>
      </c>
      <c r="Q99" s="32">
        <v>1313.27</v>
      </c>
      <c r="R99" s="34">
        <f t="shared" si="9"/>
        <v>4.8200000000000021E-2</v>
      </c>
      <c r="T99" s="38">
        <f t="shared" si="11"/>
        <v>2.1557093030935004E-3</v>
      </c>
      <c r="U99" s="27">
        <f t="shared" si="12"/>
        <v>9.4052545179299507E-3</v>
      </c>
      <c r="W99" s="62">
        <v>68.94</v>
      </c>
      <c r="X99" s="63">
        <f t="shared" si="13"/>
        <v>4.5068041681759876E-3</v>
      </c>
    </row>
    <row r="100" spans="3:24" x14ac:dyDescent="0.3">
      <c r="C100" s="16">
        <v>36902</v>
      </c>
      <c r="D100" s="11">
        <v>51308.54</v>
      </c>
      <c r="E100" s="11">
        <v>34797</v>
      </c>
      <c r="F100" s="12">
        <v>4.726519246711422E-2</v>
      </c>
      <c r="H100" s="26">
        <v>84497.133400487292</v>
      </c>
      <c r="I100" s="26">
        <f t="shared" si="7"/>
        <v>84497.133400481136</v>
      </c>
      <c r="J100" s="27">
        <f t="shared" si="10"/>
        <v>4.3081717180867944E-3</v>
      </c>
      <c r="P100" s="25">
        <f t="shared" si="8"/>
        <v>84497.133400481136</v>
      </c>
      <c r="Q100" s="32">
        <v>1326.82</v>
      </c>
      <c r="R100" s="34">
        <f t="shared" si="9"/>
        <v>4.8399999999999999E-2</v>
      </c>
      <c r="T100" s="38">
        <f t="shared" si="11"/>
        <v>4.1320806157065793E-3</v>
      </c>
      <c r="U100" s="27">
        <f t="shared" si="12"/>
        <v>1.013237182464688E-2</v>
      </c>
      <c r="W100" s="62">
        <v>69.44</v>
      </c>
      <c r="X100" s="63">
        <f t="shared" si="13"/>
        <v>7.2265092633753665E-3</v>
      </c>
    </row>
    <row r="101" spans="3:24" x14ac:dyDescent="0.3">
      <c r="C101" s="16">
        <v>36903</v>
      </c>
      <c r="D101" s="11">
        <v>52047.46</v>
      </c>
      <c r="E101" s="11">
        <v>34797</v>
      </c>
      <c r="F101" s="12">
        <v>4.678816149875898E-2</v>
      </c>
      <c r="H101" s="26">
        <v>85252.092986213</v>
      </c>
      <c r="I101" s="26">
        <f t="shared" si="7"/>
        <v>85252.092986207368</v>
      </c>
      <c r="J101" s="27">
        <f t="shared" si="10"/>
        <v>8.8950574870758688E-3</v>
      </c>
      <c r="P101" s="25">
        <f t="shared" si="8"/>
        <v>85252.092986207368</v>
      </c>
      <c r="Q101" s="32">
        <v>1318.32</v>
      </c>
      <c r="R101" s="34">
        <f t="shared" si="9"/>
        <v>4.7900000000000054E-2</v>
      </c>
      <c r="T101" s="38">
        <f t="shared" si="11"/>
        <v>8.7485822252824086E-3</v>
      </c>
      <c r="U101" s="27">
        <f t="shared" si="12"/>
        <v>-6.592448596006828E-3</v>
      </c>
      <c r="W101" s="62">
        <v>70.44</v>
      </c>
      <c r="X101" s="63">
        <f t="shared" si="13"/>
        <v>1.4298213275910694E-2</v>
      </c>
    </row>
    <row r="102" spans="3:24" x14ac:dyDescent="0.3">
      <c r="C102" s="16">
        <v>36906</v>
      </c>
      <c r="D102" s="11">
        <v>52047.46</v>
      </c>
      <c r="E102" s="11">
        <v>41720</v>
      </c>
      <c r="F102" s="12">
        <v>4.7551301858222352E-2</v>
      </c>
      <c r="H102" s="26">
        <v>91822.116736558804</v>
      </c>
      <c r="I102" s="26">
        <f t="shared" si="7"/>
        <v>91822.116736538184</v>
      </c>
      <c r="J102" s="27">
        <f t="shared" si="10"/>
        <v>7.4240524645166686E-2</v>
      </c>
      <c r="P102" s="25">
        <f t="shared" si="8"/>
        <v>91822.116736538184</v>
      </c>
      <c r="Q102" s="32">
        <v>1318.32</v>
      </c>
      <c r="R102" s="34">
        <f t="shared" si="9"/>
        <v>4.8699999999999966E-2</v>
      </c>
      <c r="T102" s="38">
        <f t="shared" si="11"/>
        <v>7.6881604451890961E-2</v>
      </c>
      <c r="U102" s="27">
        <f t="shared" si="12"/>
        <v>-1.8423076923079762E-4</v>
      </c>
      <c r="W102" s="62">
        <v>70.44</v>
      </c>
      <c r="X102" s="63">
        <f t="shared" si="13"/>
        <v>0</v>
      </c>
    </row>
    <row r="103" spans="3:24" x14ac:dyDescent="0.3">
      <c r="C103" s="16">
        <v>36907</v>
      </c>
      <c r="D103" s="11">
        <v>50569.63</v>
      </c>
      <c r="E103" s="11">
        <v>41720</v>
      </c>
      <c r="F103" s="12">
        <v>4.8313860278550724E-2</v>
      </c>
      <c r="H103" s="26">
        <v>90312.360903477791</v>
      </c>
      <c r="I103" s="26">
        <f t="shared" si="7"/>
        <v>90312.360903453737</v>
      </c>
      <c r="J103" s="27">
        <f t="shared" si="10"/>
        <v>-1.6578853528880725E-2</v>
      </c>
      <c r="P103" s="25">
        <f t="shared" si="8"/>
        <v>90312.360903453737</v>
      </c>
      <c r="Q103" s="32">
        <v>1326.65</v>
      </c>
      <c r="R103" s="34">
        <f t="shared" si="9"/>
        <v>4.9500000000000099E-2</v>
      </c>
      <c r="T103" s="38">
        <f t="shared" si="11"/>
        <v>-1.6629488364490852E-2</v>
      </c>
      <c r="U103" s="27">
        <f t="shared" si="12"/>
        <v>6.1313402839044961E-3</v>
      </c>
      <c r="W103" s="62">
        <v>68.44</v>
      </c>
      <c r="X103" s="63">
        <f t="shared" si="13"/>
        <v>-2.8803834604012684E-2</v>
      </c>
    </row>
    <row r="104" spans="3:24" x14ac:dyDescent="0.3">
      <c r="C104" s="16">
        <v>36908</v>
      </c>
      <c r="D104" s="11">
        <v>52555.45</v>
      </c>
      <c r="E104" s="11">
        <v>41720</v>
      </c>
      <c r="F104" s="12">
        <v>4.7932653755302722E-2</v>
      </c>
      <c r="H104" s="26">
        <v>92315.460239765554</v>
      </c>
      <c r="I104" s="26">
        <f t="shared" si="7"/>
        <v>92315.460239746084</v>
      </c>
      <c r="J104" s="27">
        <f t="shared" si="10"/>
        <v>2.1937289234922639E-2</v>
      </c>
      <c r="P104" s="25">
        <f t="shared" si="8"/>
        <v>92315.460239746084</v>
      </c>
      <c r="Q104" s="32">
        <v>1329.47</v>
      </c>
      <c r="R104" s="34">
        <f t="shared" si="9"/>
        <v>4.9099999999999921E-2</v>
      </c>
      <c r="T104" s="38">
        <f t="shared" si="11"/>
        <v>2.1989296175307205E-2</v>
      </c>
      <c r="U104" s="27">
        <f t="shared" si="12"/>
        <v>1.9352702295254431E-3</v>
      </c>
      <c r="W104" s="62">
        <v>71.13</v>
      </c>
      <c r="X104" s="63">
        <f t="shared" si="13"/>
        <v>3.8551739721431069E-2</v>
      </c>
    </row>
    <row r="105" spans="3:24" x14ac:dyDescent="0.3">
      <c r="C105" s="16">
        <v>36909</v>
      </c>
      <c r="D105" s="11">
        <v>53248.160000000003</v>
      </c>
      <c r="E105" s="11">
        <v>41720</v>
      </c>
      <c r="F105" s="12">
        <v>4.6501833651419862E-2</v>
      </c>
      <c r="H105" s="26">
        <v>93065.664024479178</v>
      </c>
      <c r="I105" s="26">
        <f t="shared" si="7"/>
        <v>93065.66402446093</v>
      </c>
      <c r="J105" s="27">
        <f t="shared" si="10"/>
        <v>8.0936814147504876E-3</v>
      </c>
      <c r="P105" s="25">
        <f t="shared" si="8"/>
        <v>93065.66402446093</v>
      </c>
      <c r="Q105" s="32">
        <v>1347.97</v>
      </c>
      <c r="R105" s="34">
        <f t="shared" si="9"/>
        <v>4.7600000000000087E-2</v>
      </c>
      <c r="T105" s="38">
        <f t="shared" si="11"/>
        <v>7.9376776458135456E-3</v>
      </c>
      <c r="U105" s="27">
        <f t="shared" si="12"/>
        <v>1.3726473484806823E-2</v>
      </c>
      <c r="W105" s="62">
        <v>72.06</v>
      </c>
      <c r="X105" s="63">
        <f t="shared" si="13"/>
        <v>1.2989916574523442E-2</v>
      </c>
    </row>
    <row r="106" spans="3:24" x14ac:dyDescent="0.3">
      <c r="C106" s="16">
        <v>36910</v>
      </c>
      <c r="D106" s="11">
        <v>52370.71</v>
      </c>
      <c r="E106" s="11">
        <v>41720</v>
      </c>
      <c r="F106" s="12">
        <v>4.7360571359837574E-2</v>
      </c>
      <c r="H106" s="26">
        <v>92153.265891306088</v>
      </c>
      <c r="I106" s="26">
        <f t="shared" si="7"/>
        <v>92153.265891286137</v>
      </c>
      <c r="J106" s="27">
        <f t="shared" si="10"/>
        <v>-9.8521842640713064E-3</v>
      </c>
      <c r="P106" s="25">
        <f t="shared" si="8"/>
        <v>92153.265891286137</v>
      </c>
      <c r="Q106" s="32">
        <v>1342.54</v>
      </c>
      <c r="R106" s="34">
        <f t="shared" si="9"/>
        <v>4.8499999999999988E-2</v>
      </c>
      <c r="T106" s="38">
        <f t="shared" si="11"/>
        <v>-9.9868874125714768E-3</v>
      </c>
      <c r="U106" s="27">
        <f t="shared" si="12"/>
        <v>-4.2113564841946838E-3</v>
      </c>
      <c r="W106" s="62">
        <v>70.88</v>
      </c>
      <c r="X106" s="63">
        <f t="shared" si="13"/>
        <v>-1.6510799023121803E-2</v>
      </c>
    </row>
    <row r="107" spans="3:24" x14ac:dyDescent="0.3">
      <c r="C107" s="16">
        <v>36913</v>
      </c>
      <c r="D107" s="11">
        <v>55464.92</v>
      </c>
      <c r="E107" s="11">
        <v>41720</v>
      </c>
      <c r="F107" s="12">
        <v>4.678816149875898E-2</v>
      </c>
      <c r="H107" s="26">
        <v>95272.725816677732</v>
      </c>
      <c r="I107" s="26">
        <f t="shared" si="7"/>
        <v>95272.725816663384</v>
      </c>
      <c r="J107" s="27">
        <f t="shared" si="10"/>
        <v>3.3290452277590928E-2</v>
      </c>
      <c r="P107" s="25">
        <f t="shared" si="8"/>
        <v>95272.725816663384</v>
      </c>
      <c r="Q107" s="32">
        <v>1342.9</v>
      </c>
      <c r="R107" s="34">
        <f t="shared" si="9"/>
        <v>4.7900000000000054E-2</v>
      </c>
      <c r="T107" s="38">
        <f t="shared" si="11"/>
        <v>3.3664241488651214E-2</v>
      </c>
      <c r="U107" s="27">
        <f t="shared" si="12"/>
        <v>8.1609973517471346E-5</v>
      </c>
      <c r="W107" s="62">
        <v>75.06</v>
      </c>
      <c r="X107" s="63">
        <f t="shared" si="13"/>
        <v>5.7299487410049303E-2</v>
      </c>
    </row>
    <row r="108" spans="3:24" x14ac:dyDescent="0.3">
      <c r="C108" s="16">
        <v>36914</v>
      </c>
      <c r="D108" s="11">
        <v>58051.13</v>
      </c>
      <c r="E108" s="11">
        <v>41720</v>
      </c>
      <c r="F108" s="12">
        <v>4.7360571359837574E-2</v>
      </c>
      <c r="H108" s="26">
        <v>97837.617771256686</v>
      </c>
      <c r="I108" s="26">
        <f t="shared" si="7"/>
        <v>97837.617771245918</v>
      </c>
      <c r="J108" s="27">
        <f t="shared" si="10"/>
        <v>2.6565566074098417E-2</v>
      </c>
      <c r="P108" s="25">
        <f t="shared" si="8"/>
        <v>97837.617771245918</v>
      </c>
      <c r="Q108" s="32">
        <v>1360.4</v>
      </c>
      <c r="R108" s="34">
        <f t="shared" si="9"/>
        <v>4.8499999999999988E-2</v>
      </c>
      <c r="T108" s="38">
        <f t="shared" si="11"/>
        <v>2.6737345501382626E-2</v>
      </c>
      <c r="U108" s="27">
        <f t="shared" si="12"/>
        <v>1.28472682254821E-2</v>
      </c>
      <c r="W108" s="62">
        <v>78.56</v>
      </c>
      <c r="X108" s="63">
        <f t="shared" si="13"/>
        <v>4.5574870339335778E-2</v>
      </c>
    </row>
    <row r="109" spans="3:24" x14ac:dyDescent="0.3">
      <c r="C109" s="16">
        <v>36915</v>
      </c>
      <c r="D109" s="11">
        <v>58928.62</v>
      </c>
      <c r="E109" s="11">
        <v>41720</v>
      </c>
      <c r="F109" s="12">
        <v>4.7455941156295332E-2</v>
      </c>
      <c r="H109" s="26">
        <v>98711.705529022394</v>
      </c>
      <c r="I109" s="26">
        <f t="shared" si="7"/>
        <v>98711.705529012601</v>
      </c>
      <c r="J109" s="27">
        <f t="shared" si="10"/>
        <v>8.8943935855076237E-3</v>
      </c>
      <c r="P109" s="25">
        <f t="shared" si="8"/>
        <v>98711.705529012601</v>
      </c>
      <c r="Q109" s="32">
        <v>1364.31</v>
      </c>
      <c r="R109" s="34">
        <f t="shared" si="9"/>
        <v>4.8599999999999977E-2</v>
      </c>
      <c r="T109" s="38">
        <f t="shared" si="11"/>
        <v>8.7475277767705695E-3</v>
      </c>
      <c r="U109" s="27">
        <f t="shared" si="12"/>
        <v>2.6876161988553804E-3</v>
      </c>
      <c r="W109" s="62">
        <v>79.75</v>
      </c>
      <c r="X109" s="63">
        <f t="shared" si="13"/>
        <v>1.5034077618743447E-2</v>
      </c>
    </row>
    <row r="110" spans="3:24" x14ac:dyDescent="0.3">
      <c r="C110" s="16">
        <v>36916</v>
      </c>
      <c r="D110" s="11">
        <v>60591.18</v>
      </c>
      <c r="E110" s="11">
        <v>41720</v>
      </c>
      <c r="F110" s="12">
        <v>4.716980447638993E-2</v>
      </c>
      <c r="H110" s="26">
        <v>100386.27246504948</v>
      </c>
      <c r="I110" s="26">
        <f t="shared" si="7"/>
        <v>100386.2724650413</v>
      </c>
      <c r="J110" s="27">
        <f t="shared" si="10"/>
        <v>1.6821933014421774E-2</v>
      </c>
      <c r="P110" s="25">
        <f t="shared" si="8"/>
        <v>100386.2724650413</v>
      </c>
      <c r="Q110" s="32">
        <v>1357.51</v>
      </c>
      <c r="R110" s="34">
        <f t="shared" si="9"/>
        <v>4.830000000000001E-2</v>
      </c>
      <c r="T110" s="38">
        <f t="shared" si="11"/>
        <v>1.6777295371683376E-2</v>
      </c>
      <c r="U110" s="27">
        <f t="shared" si="12"/>
        <v>-5.1711275465817774E-3</v>
      </c>
      <c r="W110" s="62">
        <v>82</v>
      </c>
      <c r="X110" s="63">
        <f t="shared" si="13"/>
        <v>2.7822505599299194E-2</v>
      </c>
    </row>
    <row r="111" spans="3:24" x14ac:dyDescent="0.3">
      <c r="C111" s="16">
        <v>36917</v>
      </c>
      <c r="D111" s="11">
        <v>60591.18</v>
      </c>
      <c r="E111" s="11">
        <v>41720</v>
      </c>
      <c r="F111" s="12">
        <v>4.716980447638993E-2</v>
      </c>
      <c r="H111" s="26">
        <v>100386.27246504948</v>
      </c>
      <c r="I111" s="26">
        <f t="shared" si="7"/>
        <v>100386.2724650413</v>
      </c>
      <c r="J111" s="27">
        <f t="shared" si="10"/>
        <v>0</v>
      </c>
      <c r="P111" s="25">
        <f t="shared" si="8"/>
        <v>100386.2724650413</v>
      </c>
      <c r="Q111" s="32">
        <v>1354.95</v>
      </c>
      <c r="R111" s="34">
        <f t="shared" si="9"/>
        <v>4.830000000000001E-2</v>
      </c>
      <c r="T111" s="38">
        <f t="shared" si="11"/>
        <v>-1.8576923076918384E-4</v>
      </c>
      <c r="U111" s="27">
        <f t="shared" si="12"/>
        <v>-2.0715748601936035E-3</v>
      </c>
      <c r="W111" s="62">
        <v>82</v>
      </c>
      <c r="X111" s="63">
        <f t="shared" si="13"/>
        <v>0</v>
      </c>
    </row>
    <row r="112" spans="3:24" x14ac:dyDescent="0.3">
      <c r="C112" s="16">
        <v>36920</v>
      </c>
      <c r="D112" s="11">
        <v>59682.28</v>
      </c>
      <c r="E112" s="11">
        <v>41720</v>
      </c>
      <c r="F112" s="12">
        <v>4.6692727991982354E-2</v>
      </c>
      <c r="H112" s="26">
        <v>99496.024071693028</v>
      </c>
      <c r="I112" s="26">
        <f t="shared" si="7"/>
        <v>99496.024071683976</v>
      </c>
      <c r="J112" s="27">
        <f t="shared" si="10"/>
        <v>-8.9077851859821512E-3</v>
      </c>
      <c r="P112" s="25">
        <f t="shared" si="8"/>
        <v>99496.024071683976</v>
      </c>
      <c r="Q112" s="32">
        <v>1364.17</v>
      </c>
      <c r="R112" s="34">
        <f t="shared" si="9"/>
        <v>4.7800000000000065E-2</v>
      </c>
      <c r="T112" s="38">
        <f t="shared" si="11"/>
        <v>-9.0539976398611444E-3</v>
      </c>
      <c r="U112" s="27">
        <f t="shared" si="12"/>
        <v>6.6189099086824132E-3</v>
      </c>
      <c r="W112" s="62">
        <v>80.77</v>
      </c>
      <c r="X112" s="63">
        <f t="shared" si="13"/>
        <v>-1.5113637810048184E-2</v>
      </c>
    </row>
    <row r="113" spans="3:24" x14ac:dyDescent="0.3">
      <c r="C113" s="16">
        <v>36921</v>
      </c>
      <c r="D113" s="11">
        <v>58004.97</v>
      </c>
      <c r="E113" s="11">
        <v>41720</v>
      </c>
      <c r="F113" s="12">
        <v>4.5737891673853698E-2</v>
      </c>
      <c r="H113" s="26">
        <v>97856.004358528415</v>
      </c>
      <c r="I113" s="26">
        <f t="shared" si="7"/>
        <v>97856.004358517443</v>
      </c>
      <c r="J113" s="27">
        <f t="shared" si="10"/>
        <v>-1.6620629440877135E-2</v>
      </c>
      <c r="P113" s="25">
        <f t="shared" si="8"/>
        <v>97856.004358517443</v>
      </c>
      <c r="Q113" s="32">
        <v>1373.73</v>
      </c>
      <c r="R113" s="34">
        <f t="shared" si="9"/>
        <v>4.6799999999999953E-2</v>
      </c>
      <c r="T113" s="38">
        <f t="shared" si="11"/>
        <v>-1.6667114992658716E-2</v>
      </c>
      <c r="U113" s="27">
        <f t="shared" si="12"/>
        <v>6.8240780784709631E-3</v>
      </c>
      <c r="W113" s="62">
        <v>78.5</v>
      </c>
      <c r="X113" s="63">
        <f t="shared" si="13"/>
        <v>-2.8506984665842169E-2</v>
      </c>
    </row>
    <row r="114" spans="3:24" x14ac:dyDescent="0.3">
      <c r="C114" s="16">
        <v>36922</v>
      </c>
      <c r="D114" s="11">
        <v>59113.35</v>
      </c>
      <c r="E114" s="11">
        <v>41720</v>
      </c>
      <c r="F114" s="12">
        <v>4.6979001193994639E-2</v>
      </c>
      <c r="H114" s="26">
        <v>98915.479199689813</v>
      </c>
      <c r="I114" s="26">
        <f t="shared" si="7"/>
        <v>98915.47919968018</v>
      </c>
      <c r="J114" s="27">
        <f t="shared" si="10"/>
        <v>1.0768685181876082E-2</v>
      </c>
      <c r="P114" s="25">
        <f t="shared" si="8"/>
        <v>98915.47919968018</v>
      </c>
      <c r="Q114" s="32">
        <v>1366.01</v>
      </c>
      <c r="R114" s="34">
        <f t="shared" si="9"/>
        <v>4.8100000000000032E-2</v>
      </c>
      <c r="T114" s="38">
        <f t="shared" si="11"/>
        <v>1.0646876164707386E-2</v>
      </c>
      <c r="U114" s="27">
        <f t="shared" si="12"/>
        <v>-5.7997360471127024E-3</v>
      </c>
      <c r="W114" s="62">
        <v>80</v>
      </c>
      <c r="X114" s="63">
        <f t="shared" si="13"/>
        <v>1.8928009885518859E-2</v>
      </c>
    </row>
    <row r="115" spans="3:24" x14ac:dyDescent="0.3">
      <c r="C115" s="16">
        <v>36923</v>
      </c>
      <c r="D115" s="11">
        <v>58219.23</v>
      </c>
      <c r="E115" s="11">
        <v>41720</v>
      </c>
      <c r="F115" s="12">
        <v>4.4590883327875218E-2</v>
      </c>
      <c r="H115" s="26">
        <v>98116.070005446381</v>
      </c>
      <c r="I115" s="26">
        <f t="shared" si="7"/>
        <v>98116.070005435569</v>
      </c>
      <c r="J115" s="27">
        <f t="shared" si="10"/>
        <v>-8.1145743813743447E-3</v>
      </c>
      <c r="P115" s="25">
        <f t="shared" si="8"/>
        <v>98116.070005435569</v>
      </c>
      <c r="Q115" s="32">
        <v>1373.47</v>
      </c>
      <c r="R115" s="34">
        <f t="shared" si="9"/>
        <v>4.5600000000000085E-2</v>
      </c>
      <c r="T115" s="38">
        <f t="shared" si="11"/>
        <v>-8.2667400948021053E-3</v>
      </c>
      <c r="U115" s="27">
        <f t="shared" si="12"/>
        <v>5.2761606064377631E-3</v>
      </c>
      <c r="W115" s="62">
        <v>78.790000000000006</v>
      </c>
      <c r="X115" s="63">
        <f t="shared" si="13"/>
        <v>-1.524054941628483E-2</v>
      </c>
    </row>
    <row r="116" spans="3:24" x14ac:dyDescent="0.3">
      <c r="C116" s="16">
        <v>36924</v>
      </c>
      <c r="D116" s="11">
        <v>59098.559999999998</v>
      </c>
      <c r="E116" s="11">
        <v>41720</v>
      </c>
      <c r="F116" s="12">
        <v>4.5546814955970363E-2</v>
      </c>
      <c r="H116" s="26">
        <v>98957.692952089099</v>
      </c>
      <c r="I116" s="26">
        <f t="shared" si="7"/>
        <v>98957.692952079349</v>
      </c>
      <c r="J116" s="27">
        <f t="shared" si="10"/>
        <v>8.5412492315387698E-3</v>
      </c>
      <c r="P116" s="25">
        <f t="shared" si="8"/>
        <v>98957.692952079349</v>
      </c>
      <c r="Q116" s="32">
        <v>1349.47</v>
      </c>
      <c r="R116" s="34">
        <f t="shared" si="9"/>
        <v>4.6599999999999975E-2</v>
      </c>
      <c r="T116" s="38">
        <f t="shared" si="11"/>
        <v>8.4024451590565263E-3</v>
      </c>
      <c r="U116" s="27">
        <f t="shared" si="12"/>
        <v>-1.7649373854319639E-2</v>
      </c>
      <c r="W116" s="62">
        <v>79.98</v>
      </c>
      <c r="X116" s="63">
        <f t="shared" si="13"/>
        <v>1.4990518161075536E-2</v>
      </c>
    </row>
    <row r="117" spans="3:24" x14ac:dyDescent="0.3">
      <c r="C117" s="16">
        <v>36927</v>
      </c>
      <c r="D117" s="11">
        <v>60450.77</v>
      </c>
      <c r="E117" s="11">
        <v>41720</v>
      </c>
      <c r="F117" s="12">
        <v>4.5928931888399735E-2</v>
      </c>
      <c r="H117" s="26">
        <v>100295.19954425766</v>
      </c>
      <c r="I117" s="26">
        <f t="shared" si="7"/>
        <v>100295.19954424928</v>
      </c>
      <c r="J117" s="27">
        <f t="shared" si="10"/>
        <v>1.3425417969153855E-2</v>
      </c>
      <c r="P117" s="25">
        <f t="shared" si="8"/>
        <v>100295.19954424928</v>
      </c>
      <c r="Q117" s="32">
        <v>1354.31</v>
      </c>
      <c r="R117" s="34">
        <f t="shared" si="9"/>
        <v>4.6999999999999931E-2</v>
      </c>
      <c r="T117" s="38">
        <f t="shared" si="11"/>
        <v>1.3336712784724369E-2</v>
      </c>
      <c r="U117" s="27">
        <f t="shared" si="12"/>
        <v>3.4073624858990126E-3</v>
      </c>
      <c r="W117" s="62">
        <v>81.81</v>
      </c>
      <c r="X117" s="63">
        <f t="shared" si="13"/>
        <v>2.2622882106934483E-2</v>
      </c>
    </row>
    <row r="118" spans="3:24" x14ac:dyDescent="0.3">
      <c r="C118" s="16">
        <v>36928</v>
      </c>
      <c r="D118" s="11">
        <v>59224.18</v>
      </c>
      <c r="E118" s="11">
        <v>41720</v>
      </c>
      <c r="F118" s="12">
        <v>4.6310902863250361E-2</v>
      </c>
      <c r="H118" s="26">
        <v>99052.93899200036</v>
      </c>
      <c r="I118" s="26">
        <f t="shared" si="7"/>
        <v>99052.938991990799</v>
      </c>
      <c r="J118" s="27">
        <f t="shared" si="10"/>
        <v>-1.2463388341532445E-2</v>
      </c>
      <c r="P118" s="25">
        <f t="shared" si="8"/>
        <v>99052.938991990799</v>
      </c>
      <c r="Q118" s="32">
        <v>1352.26</v>
      </c>
      <c r="R118" s="34">
        <f t="shared" si="9"/>
        <v>4.7400000000000109E-2</v>
      </c>
      <c r="T118" s="38">
        <f t="shared" si="11"/>
        <v>-1.2566811213869267E-2</v>
      </c>
      <c r="U118" s="27">
        <f t="shared" si="12"/>
        <v>-1.694455166780795E-3</v>
      </c>
      <c r="W118" s="62">
        <v>80.150000000000006</v>
      </c>
      <c r="X118" s="63">
        <f t="shared" si="13"/>
        <v>-2.0499606470044871E-2</v>
      </c>
    </row>
    <row r="119" spans="3:24" x14ac:dyDescent="0.3">
      <c r="C119" s="16">
        <v>36929</v>
      </c>
      <c r="D119" s="11">
        <v>59371.97</v>
      </c>
      <c r="E119" s="11">
        <v>41720</v>
      </c>
      <c r="F119" s="12">
        <v>4.621542379696289E-2</v>
      </c>
      <c r="H119" s="26">
        <v>99204.589329712253</v>
      </c>
      <c r="I119" s="26">
        <f t="shared" si="7"/>
        <v>99204.589329702852</v>
      </c>
      <c r="J119" s="27">
        <f t="shared" si="10"/>
        <v>1.5298321185817224E-3</v>
      </c>
      <c r="P119" s="25">
        <f t="shared" si="8"/>
        <v>99204.589329702852</v>
      </c>
      <c r="Q119" s="32">
        <v>1340.89</v>
      </c>
      <c r="R119" s="34">
        <f t="shared" si="9"/>
        <v>4.7299999999999898E-2</v>
      </c>
      <c r="T119" s="38">
        <f t="shared" si="11"/>
        <v>1.3486952163925814E-3</v>
      </c>
      <c r="U119" s="27">
        <f t="shared" si="12"/>
        <v>-8.5904540546936081E-3</v>
      </c>
      <c r="W119" s="62">
        <v>80.349999999999994</v>
      </c>
      <c r="X119" s="63">
        <f t="shared" si="13"/>
        <v>2.4922131279595436E-3</v>
      </c>
    </row>
    <row r="120" spans="3:24" x14ac:dyDescent="0.3">
      <c r="C120" s="16">
        <v>36930</v>
      </c>
      <c r="D120" s="11">
        <v>59113.35</v>
      </c>
      <c r="E120" s="11">
        <v>41720</v>
      </c>
      <c r="F120" s="12">
        <v>4.6310902863250361E-2</v>
      </c>
      <c r="H120" s="26">
        <v>98942.063547133861</v>
      </c>
      <c r="I120" s="26">
        <f t="shared" si="7"/>
        <v>98942.063547124199</v>
      </c>
      <c r="J120" s="27">
        <f t="shared" si="10"/>
        <v>-2.6498144922216249E-3</v>
      </c>
      <c r="P120" s="25">
        <f t="shared" si="8"/>
        <v>98942.063547124199</v>
      </c>
      <c r="Q120" s="32">
        <v>1332.53</v>
      </c>
      <c r="R120" s="34">
        <f t="shared" si="9"/>
        <v>4.7400000000000109E-2</v>
      </c>
      <c r="T120" s="38">
        <f t="shared" si="11"/>
        <v>-2.8282299096257235E-3</v>
      </c>
      <c r="U120" s="27">
        <f t="shared" si="12"/>
        <v>-6.4165881128321889E-3</v>
      </c>
      <c r="W120" s="62">
        <v>80</v>
      </c>
      <c r="X120" s="63">
        <f t="shared" si="13"/>
        <v>-4.3654575096399627E-3</v>
      </c>
    </row>
    <row r="121" spans="3:24" x14ac:dyDescent="0.3">
      <c r="C121" s="16">
        <v>36931</v>
      </c>
      <c r="D121" s="11">
        <v>59261.13</v>
      </c>
      <c r="E121" s="11">
        <v>41720</v>
      </c>
      <c r="F121" s="12">
        <v>4.6119935613553036E-2</v>
      </c>
      <c r="H121" s="26">
        <v>99097.506128201581</v>
      </c>
      <c r="I121" s="26">
        <f t="shared" si="7"/>
        <v>99097.50612819205</v>
      </c>
      <c r="J121" s="27">
        <f t="shared" si="10"/>
        <v>1.5698136816211334E-3</v>
      </c>
      <c r="P121" s="25">
        <f t="shared" si="8"/>
        <v>99097.50612819205</v>
      </c>
      <c r="Q121" s="32">
        <v>1314.76</v>
      </c>
      <c r="R121" s="34">
        <f t="shared" si="9"/>
        <v>4.7199999999999909E-2</v>
      </c>
      <c r="T121" s="38">
        <f t="shared" si="11"/>
        <v>1.3887387918178895E-3</v>
      </c>
      <c r="U121" s="27">
        <f t="shared" si="12"/>
        <v>-1.3517842351940201E-2</v>
      </c>
      <c r="W121" s="62">
        <v>80.2</v>
      </c>
      <c r="X121" s="63">
        <f t="shared" si="13"/>
        <v>2.4968801985871458E-3</v>
      </c>
    </row>
    <row r="122" spans="3:24" x14ac:dyDescent="0.3">
      <c r="C122" s="16">
        <v>36934</v>
      </c>
      <c r="D122" s="11">
        <v>58965.52</v>
      </c>
      <c r="E122" s="11">
        <v>41720</v>
      </c>
      <c r="F122" s="12">
        <v>4.5928931888399735E-2</v>
      </c>
      <c r="H122" s="26">
        <v>98809.378716014646</v>
      </c>
      <c r="I122" s="26">
        <f t="shared" si="7"/>
        <v>98809.378716004794</v>
      </c>
      <c r="J122" s="27">
        <f t="shared" si="10"/>
        <v>-2.9117492904053082E-3</v>
      </c>
      <c r="P122" s="25">
        <f t="shared" si="8"/>
        <v>98809.378716004794</v>
      </c>
      <c r="Q122" s="32">
        <v>1330.31</v>
      </c>
      <c r="R122" s="34">
        <f t="shared" si="9"/>
        <v>4.6999999999999931E-2</v>
      </c>
      <c r="T122" s="38">
        <f t="shared" si="11"/>
        <v>-3.0890527214284536E-3</v>
      </c>
      <c r="U122" s="27">
        <f t="shared" si="12"/>
        <v>1.164571518171198E-2</v>
      </c>
      <c r="W122" s="62">
        <v>79.8</v>
      </c>
      <c r="X122" s="63">
        <f t="shared" si="13"/>
        <v>-5.0000104167057515E-3</v>
      </c>
    </row>
    <row r="123" spans="3:24" x14ac:dyDescent="0.3">
      <c r="C123" s="16">
        <v>36935</v>
      </c>
      <c r="D123" s="11">
        <v>59963.1</v>
      </c>
      <c r="E123" s="11">
        <v>41720</v>
      </c>
      <c r="F123" s="12">
        <v>4.659728537678226E-2</v>
      </c>
      <c r="H123" s="26">
        <v>99780.747655388564</v>
      </c>
      <c r="I123" s="26">
        <f t="shared" si="7"/>
        <v>99780.747655379775</v>
      </c>
      <c r="J123" s="27">
        <f t="shared" si="10"/>
        <v>9.7827289193288675E-3</v>
      </c>
      <c r="P123" s="25">
        <f t="shared" si="8"/>
        <v>99780.747655379775</v>
      </c>
      <c r="Q123" s="32">
        <v>1318.8</v>
      </c>
      <c r="R123" s="34">
        <f t="shared" si="9"/>
        <v>4.7700000000000076E-2</v>
      </c>
      <c r="T123" s="38">
        <f t="shared" si="11"/>
        <v>9.6499670009286831E-3</v>
      </c>
      <c r="U123" s="27">
        <f t="shared" si="12"/>
        <v>-8.8328879098740209E-3</v>
      </c>
      <c r="W123" s="62">
        <v>81.150000000000006</v>
      </c>
      <c r="X123" s="63">
        <f t="shared" si="13"/>
        <v>1.6775789504837206E-2</v>
      </c>
    </row>
    <row r="124" spans="3:24" x14ac:dyDescent="0.3">
      <c r="C124" s="16">
        <v>36936</v>
      </c>
      <c r="D124" s="11">
        <v>59113.35</v>
      </c>
      <c r="E124" s="11">
        <v>41720</v>
      </c>
      <c r="F124" s="12">
        <v>4.726519246711422E-2</v>
      </c>
      <c r="H124" s="26">
        <v>98904.096750052209</v>
      </c>
      <c r="I124" s="26">
        <f t="shared" si="7"/>
        <v>98904.096750042605</v>
      </c>
      <c r="J124" s="27">
        <f t="shared" si="10"/>
        <v>-8.8245945174082688E-3</v>
      </c>
      <c r="P124" s="25">
        <f t="shared" si="8"/>
        <v>98904.096750042605</v>
      </c>
      <c r="Q124" s="32">
        <v>1315.92</v>
      </c>
      <c r="R124" s="34">
        <f t="shared" si="9"/>
        <v>4.8399999999999999E-2</v>
      </c>
      <c r="T124" s="38">
        <f t="shared" si="11"/>
        <v>-8.9692336030778863E-3</v>
      </c>
      <c r="U124" s="27">
        <f t="shared" si="12"/>
        <v>-2.3672649961502534E-3</v>
      </c>
      <c r="W124" s="62">
        <v>80</v>
      </c>
      <c r="X124" s="63">
        <f t="shared" si="13"/>
        <v>-1.4272659286718638E-2</v>
      </c>
    </row>
    <row r="125" spans="3:24" x14ac:dyDescent="0.3">
      <c r="C125" s="16">
        <v>36937</v>
      </c>
      <c r="D125" s="11">
        <v>57561.62</v>
      </c>
      <c r="E125" s="11">
        <v>41720</v>
      </c>
      <c r="F125" s="12">
        <v>4.7837329414160058E-2</v>
      </c>
      <c r="H125" s="26">
        <v>97328.920307651177</v>
      </c>
      <c r="I125" s="26">
        <f t="shared" si="7"/>
        <v>97328.920307639855</v>
      </c>
      <c r="J125" s="27">
        <f t="shared" si="10"/>
        <v>-1.605448765861979E-2</v>
      </c>
      <c r="P125" s="25">
        <f t="shared" si="8"/>
        <v>97328.920307639855</v>
      </c>
      <c r="Q125" s="32">
        <v>1326.62</v>
      </c>
      <c r="R125" s="34">
        <f t="shared" si="9"/>
        <v>4.8999999999999932E-2</v>
      </c>
      <c r="T125" s="38">
        <f t="shared" si="11"/>
        <v>-1.6112455123477476E-2</v>
      </c>
      <c r="U125" s="27">
        <f t="shared" si="12"/>
        <v>7.9450395394622397E-3</v>
      </c>
      <c r="W125" s="62">
        <v>77.900000000000006</v>
      </c>
      <c r="X125" s="63">
        <f t="shared" si="13"/>
        <v>-2.6600681797178914E-2</v>
      </c>
    </row>
    <row r="126" spans="3:24" x14ac:dyDescent="0.3">
      <c r="C126" s="16">
        <v>36938</v>
      </c>
      <c r="D126" s="11">
        <v>56637.97</v>
      </c>
      <c r="E126" s="11">
        <v>41720</v>
      </c>
      <c r="F126" s="12">
        <v>4.6883585898850458E-2</v>
      </c>
      <c r="H126" s="26">
        <v>96442.696511959657</v>
      </c>
      <c r="I126" s="26">
        <f t="shared" si="7"/>
        <v>96442.696511947041</v>
      </c>
      <c r="J126" s="27">
        <f t="shared" si="10"/>
        <v>-9.1471598313874886E-3</v>
      </c>
      <c r="P126" s="25">
        <f t="shared" si="8"/>
        <v>96442.696511947041</v>
      </c>
      <c r="Q126" s="32">
        <v>1301.53</v>
      </c>
      <c r="R126" s="34">
        <f t="shared" si="9"/>
        <v>4.8000000000000043E-2</v>
      </c>
      <c r="T126" s="38">
        <f t="shared" si="11"/>
        <v>-9.293913370163942E-3</v>
      </c>
      <c r="U126" s="27">
        <f t="shared" si="12"/>
        <v>-1.9101187111722817E-2</v>
      </c>
      <c r="W126" s="62">
        <v>76.650000000000006</v>
      </c>
      <c r="X126" s="63">
        <f t="shared" si="13"/>
        <v>-1.6176347558879468E-2</v>
      </c>
    </row>
    <row r="127" spans="3:24" x14ac:dyDescent="0.3">
      <c r="C127" s="16">
        <v>36941</v>
      </c>
      <c r="D127" s="11">
        <v>56637.97</v>
      </c>
      <c r="E127" s="11">
        <v>41720</v>
      </c>
      <c r="F127" s="12">
        <v>4.6740445883814832E-2</v>
      </c>
      <c r="H127" s="26">
        <v>96448.389984054913</v>
      </c>
      <c r="I127" s="26">
        <f t="shared" si="7"/>
        <v>96448.389984042296</v>
      </c>
      <c r="J127" s="27">
        <f t="shared" si="10"/>
        <v>5.9033024286672617E-5</v>
      </c>
      <c r="P127" s="25">
        <f t="shared" si="8"/>
        <v>96448.389984042296</v>
      </c>
      <c r="Q127" s="32">
        <v>1301.53</v>
      </c>
      <c r="R127" s="34">
        <f t="shared" si="9"/>
        <v>4.7849999999999948E-2</v>
      </c>
      <c r="T127" s="38">
        <f t="shared" si="11"/>
        <v>-1.25580617845511E-4</v>
      </c>
      <c r="U127" s="27">
        <f t="shared" si="12"/>
        <v>-1.8461538461544968E-4</v>
      </c>
      <c r="W127" s="62">
        <v>76.650000000000006</v>
      </c>
      <c r="X127" s="63">
        <f t="shared" si="13"/>
        <v>0</v>
      </c>
    </row>
    <row r="128" spans="3:24" x14ac:dyDescent="0.3">
      <c r="C128" s="16">
        <v>36942</v>
      </c>
      <c r="D128" s="11">
        <v>55485.23</v>
      </c>
      <c r="E128" s="11">
        <v>41720</v>
      </c>
      <c r="F128" s="12">
        <v>4.659728537678226E-2</v>
      </c>
      <c r="H128" s="26">
        <v>95300.64129237445</v>
      </c>
      <c r="I128" s="26">
        <f t="shared" si="7"/>
        <v>95300.641292360131</v>
      </c>
      <c r="J128" s="27">
        <f t="shared" si="10"/>
        <v>-1.1971506626790434E-2</v>
      </c>
      <c r="P128" s="25">
        <f t="shared" si="8"/>
        <v>95300.641292360131</v>
      </c>
      <c r="Q128" s="32">
        <v>1278.95</v>
      </c>
      <c r="R128" s="34">
        <f t="shared" si="9"/>
        <v>4.7700000000000076E-2</v>
      </c>
      <c r="T128" s="38">
        <f t="shared" si="11"/>
        <v>-1.2084171702456792E-2</v>
      </c>
      <c r="U128" s="27">
        <f t="shared" si="12"/>
        <v>-1.7532851012920125E-2</v>
      </c>
      <c r="W128" s="62">
        <v>75.09</v>
      </c>
      <c r="X128" s="63">
        <f t="shared" si="13"/>
        <v>-2.0562211206030637E-2</v>
      </c>
    </row>
    <row r="129" spans="3:24" x14ac:dyDescent="0.3">
      <c r="C129" s="16">
        <v>36943</v>
      </c>
      <c r="D129" s="11">
        <v>54007.39</v>
      </c>
      <c r="E129" s="11">
        <v>41720</v>
      </c>
      <c r="F129" s="12">
        <v>4.6310902863250361E-2</v>
      </c>
      <c r="H129" s="26">
        <v>93833.123343150146</v>
      </c>
      <c r="I129" s="26">
        <f t="shared" si="7"/>
        <v>93833.123343133309</v>
      </c>
      <c r="J129" s="27">
        <f t="shared" si="10"/>
        <v>-1.5518618830376094E-2</v>
      </c>
      <c r="P129" s="25">
        <f t="shared" si="8"/>
        <v>93833.123343133309</v>
      </c>
      <c r="Q129" s="32">
        <v>1255.27</v>
      </c>
      <c r="R129" s="34">
        <f t="shared" si="9"/>
        <v>4.7400000000000109E-2</v>
      </c>
      <c r="T129" s="38">
        <f t="shared" si="11"/>
        <v>-1.5582287079675017E-2</v>
      </c>
      <c r="U129" s="27">
        <f t="shared" si="12"/>
        <v>-1.8698649778814969E-2</v>
      </c>
      <c r="W129" s="62">
        <v>73.09</v>
      </c>
      <c r="X129" s="63">
        <f t="shared" si="13"/>
        <v>-2.6995835619492214E-2</v>
      </c>
    </row>
    <row r="130" spans="3:24" x14ac:dyDescent="0.3">
      <c r="C130" s="16">
        <v>36944</v>
      </c>
      <c r="D130" s="11">
        <v>53312.84</v>
      </c>
      <c r="E130" s="11">
        <v>41720</v>
      </c>
      <c r="F130" s="12">
        <v>4.5737891673853698E-2</v>
      </c>
      <c r="H130" s="26">
        <v>93160.794912031488</v>
      </c>
      <c r="I130" s="26">
        <f t="shared" si="7"/>
        <v>93160.794912013283</v>
      </c>
      <c r="J130" s="27">
        <f t="shared" si="10"/>
        <v>-7.1909432621777205E-3</v>
      </c>
      <c r="P130" s="25">
        <f t="shared" si="8"/>
        <v>93160.794912013283</v>
      </c>
      <c r="Q130" s="32">
        <v>1252.82</v>
      </c>
      <c r="R130" s="34">
        <f t="shared" si="9"/>
        <v>4.6799999999999953E-2</v>
      </c>
      <c r="T130" s="38">
        <f t="shared" si="11"/>
        <v>-7.3474579842939258E-3</v>
      </c>
      <c r="U130" s="27">
        <f t="shared" si="12"/>
        <v>-2.1340790243717933E-3</v>
      </c>
      <c r="W130" s="62">
        <v>72.150000000000006</v>
      </c>
      <c r="X130" s="63">
        <f t="shared" si="13"/>
        <v>-1.2944273272420419E-2</v>
      </c>
    </row>
    <row r="131" spans="3:24" x14ac:dyDescent="0.3">
      <c r="C131" s="16">
        <v>36945</v>
      </c>
      <c r="D131" s="11">
        <v>52463.08</v>
      </c>
      <c r="E131" s="11">
        <v>41720</v>
      </c>
      <c r="F131" s="12">
        <v>4.5833416343172152E-2</v>
      </c>
      <c r="H131" s="26">
        <v>92306.448465036781</v>
      </c>
      <c r="I131" s="26">
        <f t="shared" si="7"/>
        <v>92306.448465016831</v>
      </c>
      <c r="J131" s="27">
        <f t="shared" si="10"/>
        <v>-9.2129744792506883E-3</v>
      </c>
      <c r="P131" s="25">
        <f t="shared" si="8"/>
        <v>92306.448465016831</v>
      </c>
      <c r="Q131" s="32">
        <v>1245.8599999999999</v>
      </c>
      <c r="R131" s="34">
        <f t="shared" si="9"/>
        <v>4.6899999999999942E-2</v>
      </c>
      <c r="T131" s="38">
        <f t="shared" si="11"/>
        <v>-9.3506650614494369E-3</v>
      </c>
      <c r="U131" s="27">
        <f t="shared" si="12"/>
        <v>-5.7354668667487507E-3</v>
      </c>
      <c r="W131" s="62">
        <v>71</v>
      </c>
      <c r="X131" s="63">
        <f t="shared" si="13"/>
        <v>-1.606740817856455E-2</v>
      </c>
    </row>
    <row r="132" spans="3:24" x14ac:dyDescent="0.3">
      <c r="C132" s="16">
        <v>36948</v>
      </c>
      <c r="D132" s="11">
        <v>52137.94</v>
      </c>
      <c r="E132" s="11">
        <v>41720</v>
      </c>
      <c r="F132" s="12">
        <v>4.3825479540029515E-2</v>
      </c>
      <c r="H132" s="26">
        <v>92060.960213822458</v>
      </c>
      <c r="I132" s="26">
        <f t="shared" si="7"/>
        <v>92060.960213801533</v>
      </c>
      <c r="J132" s="27">
        <f t="shared" si="10"/>
        <v>-2.663034622571725E-3</v>
      </c>
      <c r="P132" s="25">
        <f t="shared" si="8"/>
        <v>92060.960213801533</v>
      </c>
      <c r="Q132" s="32">
        <v>1267.6500000000001</v>
      </c>
      <c r="R132" s="34">
        <f t="shared" si="9"/>
        <v>4.4799999999999951E-2</v>
      </c>
      <c r="T132" s="38">
        <f t="shared" si="11"/>
        <v>-2.8398765067700893E-3</v>
      </c>
      <c r="U132" s="27">
        <f t="shared" si="12"/>
        <v>1.7309542021637148E-2</v>
      </c>
      <c r="W132" s="62">
        <v>70.56</v>
      </c>
      <c r="X132" s="63">
        <f t="shared" si="13"/>
        <v>-6.2164653427795279E-3</v>
      </c>
    </row>
    <row r="133" spans="3:24" x14ac:dyDescent="0.3">
      <c r="C133" s="16">
        <v>36949</v>
      </c>
      <c r="D133" s="11">
        <v>51753.73</v>
      </c>
      <c r="E133" s="11">
        <v>41720</v>
      </c>
      <c r="F133" s="12">
        <v>4.3729762861325197E-2</v>
      </c>
      <c r="H133" s="26">
        <v>91680.160471836352</v>
      </c>
      <c r="I133" s="26">
        <f t="shared" ref="I133:I196" si="14">(D133+E133*EXP(-F133*1)*NORMSDIST(Bsd(H133,E133,1,F133,N$4)-N$4))/NORMSDIST(Bsd(H133,E133,1,F133,N$4))</f>
        <v>91680.160471814539</v>
      </c>
      <c r="J133" s="27">
        <f t="shared" si="10"/>
        <v>-4.1449653269408507E-3</v>
      </c>
      <c r="P133" s="25">
        <f t="shared" si="8"/>
        <v>91680.160471814539</v>
      </c>
      <c r="Q133" s="32">
        <v>1257.94</v>
      </c>
      <c r="R133" s="34">
        <f t="shared" si="9"/>
        <v>4.4699999999999962E-2</v>
      </c>
      <c r="T133" s="38">
        <f t="shared" si="11"/>
        <v>-4.3086945071163507E-3</v>
      </c>
      <c r="U133" s="27">
        <f t="shared" si="12"/>
        <v>-7.8321507089132991E-3</v>
      </c>
      <c r="W133" s="62">
        <v>70.040000000000006</v>
      </c>
      <c r="X133" s="63">
        <f t="shared" si="13"/>
        <v>-7.3969042808847505E-3</v>
      </c>
    </row>
    <row r="134" spans="3:24" x14ac:dyDescent="0.3">
      <c r="C134" s="16">
        <v>36950</v>
      </c>
      <c r="D134" s="11">
        <v>50615.79</v>
      </c>
      <c r="E134" s="11">
        <v>41720</v>
      </c>
      <c r="F134" s="12">
        <v>4.5737891673853698E-2</v>
      </c>
      <c r="H134" s="26">
        <v>90460.925151624208</v>
      </c>
      <c r="I134" s="26">
        <f t="shared" si="14"/>
        <v>90460.925151599862</v>
      </c>
      <c r="J134" s="27">
        <f t="shared" si="10"/>
        <v>-1.3388012124567221E-2</v>
      </c>
      <c r="P134" s="25">
        <f t="shared" ref="P134:P197" si="15">+I134</f>
        <v>90460.925151599862</v>
      </c>
      <c r="Q134" s="32">
        <v>1239.94</v>
      </c>
      <c r="R134" s="34">
        <f t="shared" ref="R134:R197" si="16">+EXP(F134)-1</f>
        <v>4.6799999999999953E-2</v>
      </c>
      <c r="T134" s="38">
        <f t="shared" si="11"/>
        <v>-1.3470714374190784E-2</v>
      </c>
      <c r="U134" s="27">
        <f t="shared" si="12"/>
        <v>-1.4481031619460794E-2</v>
      </c>
      <c r="W134" s="62">
        <v>68.5</v>
      </c>
      <c r="X134" s="63">
        <f t="shared" si="13"/>
        <v>-2.2232762149471553E-2</v>
      </c>
    </row>
    <row r="135" spans="3:24" x14ac:dyDescent="0.3">
      <c r="C135" s="16">
        <v>36951</v>
      </c>
      <c r="D135" s="11">
        <v>50748.78</v>
      </c>
      <c r="E135" s="11">
        <v>41720</v>
      </c>
      <c r="F135" s="12">
        <v>4.3538302014483408E-2</v>
      </c>
      <c r="H135" s="26">
        <v>90681.681176603219</v>
      </c>
      <c r="I135" s="26">
        <f t="shared" si="14"/>
        <v>90681.681176578888</v>
      </c>
      <c r="J135" s="27">
        <f t="shared" ref="J135:J198" si="17">LN(H135/H134)</f>
        <v>2.4373739424705123E-3</v>
      </c>
      <c r="P135" s="25">
        <f t="shared" si="15"/>
        <v>90681.681176578888</v>
      </c>
      <c r="Q135" s="32">
        <v>1241.23</v>
      </c>
      <c r="R135" s="34">
        <f t="shared" si="16"/>
        <v>4.4499999999999984E-2</v>
      </c>
      <c r="T135" s="38">
        <f t="shared" ref="T135:T198" si="18">+P135/P134-(1+$R134/260)</f>
        <v>2.2603467531319144E-3</v>
      </c>
      <c r="U135" s="27">
        <f t="shared" ref="U135:U198" si="19">+Q135/Q134-(1+$R134/260)</f>
        <v>8.6037292127039144E-4</v>
      </c>
      <c r="W135" s="62">
        <v>68.680000000000007</v>
      </c>
      <c r="X135" s="63">
        <f t="shared" ref="X135:X198" si="20">+LN(W135/W134)</f>
        <v>2.6242907610953192E-3</v>
      </c>
    </row>
    <row r="136" spans="3:24" x14ac:dyDescent="0.3">
      <c r="C136" s="16">
        <v>36952</v>
      </c>
      <c r="D136" s="11">
        <v>51864.53</v>
      </c>
      <c r="E136" s="11">
        <v>41720</v>
      </c>
      <c r="F136" s="12">
        <v>4.3729762861325197E-2</v>
      </c>
      <c r="H136" s="26">
        <v>91791.079645837643</v>
      </c>
      <c r="I136" s="26">
        <f t="shared" si="14"/>
        <v>91791.079645816077</v>
      </c>
      <c r="J136" s="27">
        <f t="shared" si="17"/>
        <v>1.2159756160952547E-2</v>
      </c>
      <c r="P136" s="25">
        <f t="shared" si="15"/>
        <v>91791.079645816077</v>
      </c>
      <c r="Q136" s="32">
        <v>1234.18</v>
      </c>
      <c r="R136" s="34">
        <f t="shared" si="16"/>
        <v>4.4699999999999962E-2</v>
      </c>
      <c r="T136" s="38">
        <f t="shared" si="18"/>
        <v>1.2062832719191618E-2</v>
      </c>
      <c r="U136" s="27">
        <f t="shared" si="19"/>
        <v>-5.8510036725355485E-3</v>
      </c>
      <c r="W136" s="62">
        <v>70.19</v>
      </c>
      <c r="X136" s="63">
        <f t="shared" si="20"/>
        <v>2.1747814713055223E-2</v>
      </c>
    </row>
    <row r="137" spans="3:24" x14ac:dyDescent="0.3">
      <c r="C137" s="16">
        <v>36955</v>
      </c>
      <c r="D137" s="11">
        <v>51805.43</v>
      </c>
      <c r="E137" s="11">
        <v>41720</v>
      </c>
      <c r="F137" s="12">
        <v>4.4112574618320875E-2</v>
      </c>
      <c r="H137" s="26">
        <v>91716.656196699609</v>
      </c>
      <c r="I137" s="26">
        <f t="shared" si="14"/>
        <v>91716.65619667797</v>
      </c>
      <c r="J137" s="27">
        <f t="shared" si="17"/>
        <v>-8.111206089127693E-4</v>
      </c>
      <c r="P137" s="25">
        <f t="shared" si="15"/>
        <v>91716.65619667797</v>
      </c>
      <c r="Q137" s="32">
        <v>1241.4100000000001</v>
      </c>
      <c r="R137" s="34">
        <f t="shared" si="16"/>
        <v>4.5099999999999918E-2</v>
      </c>
      <c r="T137" s="38">
        <f t="shared" si="18"/>
        <v>-9.827148164393007E-4</v>
      </c>
      <c r="U137" s="27">
        <f t="shared" si="19"/>
        <v>5.6862175508622936E-3</v>
      </c>
      <c r="W137" s="62">
        <v>70.11</v>
      </c>
      <c r="X137" s="63">
        <f t="shared" si="20"/>
        <v>-1.1404135234538574E-3</v>
      </c>
    </row>
    <row r="138" spans="3:24" x14ac:dyDescent="0.3">
      <c r="C138" s="16">
        <v>36956</v>
      </c>
      <c r="D138" s="11">
        <v>50889.2</v>
      </c>
      <c r="E138" s="11">
        <v>41720</v>
      </c>
      <c r="F138" s="12">
        <v>4.401688541677426E-2</v>
      </c>
      <c r="H138" s="26">
        <v>90803.195691643035</v>
      </c>
      <c r="I138" s="26">
        <f t="shared" si="14"/>
        <v>90803.195691619156</v>
      </c>
      <c r="J138" s="27">
        <f t="shared" si="17"/>
        <v>-1.0009520852288456E-2</v>
      </c>
      <c r="P138" s="25">
        <f t="shared" si="15"/>
        <v>90803.195691619156</v>
      </c>
      <c r="Q138" s="32">
        <v>1253.8</v>
      </c>
      <c r="R138" s="34">
        <f t="shared" si="16"/>
        <v>4.4999999999999929E-2</v>
      </c>
      <c r="T138" s="38">
        <f t="shared" si="18"/>
        <v>-1.0133053862673269E-2</v>
      </c>
      <c r="U138" s="27">
        <f t="shared" si="19"/>
        <v>9.8071250525921805E-3</v>
      </c>
      <c r="W138" s="62">
        <v>68.87</v>
      </c>
      <c r="X138" s="63">
        <f t="shared" si="20"/>
        <v>-1.7844767662269317E-2</v>
      </c>
    </row>
    <row r="139" spans="3:24" x14ac:dyDescent="0.3">
      <c r="C139" s="16">
        <v>36957</v>
      </c>
      <c r="D139" s="11">
        <v>51724.160000000003</v>
      </c>
      <c r="E139" s="11">
        <v>41720</v>
      </c>
      <c r="F139" s="12">
        <v>4.3442557842836724E-2</v>
      </c>
      <c r="H139" s="26">
        <v>91662.010916069092</v>
      </c>
      <c r="I139" s="26">
        <f t="shared" si="14"/>
        <v>91662.010916047177</v>
      </c>
      <c r="J139" s="27">
        <f t="shared" si="17"/>
        <v>9.4135378722791322E-3</v>
      </c>
      <c r="P139" s="25">
        <f t="shared" si="15"/>
        <v>91662.010916047177</v>
      </c>
      <c r="Q139" s="32">
        <v>1261.9000000000001</v>
      </c>
      <c r="R139" s="34">
        <f t="shared" si="16"/>
        <v>4.4399999999999995E-2</v>
      </c>
      <c r="T139" s="38">
        <f t="shared" si="18"/>
        <v>9.2849076543015663E-3</v>
      </c>
      <c r="U139" s="27">
        <f t="shared" si="19"/>
        <v>6.2872835809908434E-3</v>
      </c>
      <c r="W139" s="62">
        <v>70</v>
      </c>
      <c r="X139" s="63">
        <f t="shared" si="20"/>
        <v>1.6274572492751955E-2</v>
      </c>
    </row>
    <row r="140" spans="3:24" x14ac:dyDescent="0.3">
      <c r="C140" s="16">
        <v>36958</v>
      </c>
      <c r="D140" s="11">
        <v>52160.14</v>
      </c>
      <c r="E140" s="11">
        <v>41720</v>
      </c>
      <c r="F140" s="12">
        <v>4.3251041994314954E-2</v>
      </c>
      <c r="H140" s="26">
        <v>92106.092085641983</v>
      </c>
      <c r="I140" s="26">
        <f t="shared" si="14"/>
        <v>92106.092085621029</v>
      </c>
      <c r="J140" s="27">
        <f t="shared" si="17"/>
        <v>4.83306979550489E-3</v>
      </c>
      <c r="P140" s="25">
        <f t="shared" si="15"/>
        <v>92106.092085621029</v>
      </c>
      <c r="Q140" s="32">
        <v>1264.74</v>
      </c>
      <c r="R140" s="34">
        <f t="shared" si="16"/>
        <v>4.4200000000000017E-2</v>
      </c>
      <c r="T140" s="38">
        <f t="shared" si="18"/>
        <v>4.6739986849224646E-3</v>
      </c>
      <c r="U140" s="27">
        <f t="shared" si="19"/>
        <v>2.0798052997006433E-3</v>
      </c>
      <c r="W140" s="62">
        <v>70.59</v>
      </c>
      <c r="X140" s="63">
        <f t="shared" si="20"/>
        <v>8.3932493580218398E-3</v>
      </c>
    </row>
    <row r="141" spans="3:24" x14ac:dyDescent="0.3">
      <c r="C141" s="16">
        <v>36959</v>
      </c>
      <c r="D141" s="11">
        <v>50867.040000000001</v>
      </c>
      <c r="E141" s="11">
        <v>41720</v>
      </c>
      <c r="F141" s="12">
        <v>4.3729762861325197E-2</v>
      </c>
      <c r="H141" s="26">
        <v>90792.452999642672</v>
      </c>
      <c r="I141" s="26">
        <f t="shared" si="14"/>
        <v>90792.452999618676</v>
      </c>
      <c r="J141" s="27">
        <f t="shared" si="17"/>
        <v>-1.436492208875533E-2</v>
      </c>
      <c r="P141" s="25">
        <f t="shared" si="15"/>
        <v>90792.452999618676</v>
      </c>
      <c r="Q141" s="32">
        <v>1233.42</v>
      </c>
      <c r="R141" s="34">
        <f t="shared" si="16"/>
        <v>4.4699999999999962E-2</v>
      </c>
      <c r="T141" s="38">
        <f t="shared" si="18"/>
        <v>-1.4432238862345903E-2</v>
      </c>
      <c r="U141" s="27">
        <f t="shared" si="19"/>
        <v>-2.4933983111153246E-2</v>
      </c>
      <c r="W141" s="62">
        <v>68.84</v>
      </c>
      <c r="X141" s="63">
        <f t="shared" si="20"/>
        <v>-2.5103520064042116E-2</v>
      </c>
    </row>
    <row r="142" spans="3:24" x14ac:dyDescent="0.3">
      <c r="C142" s="16">
        <v>36962</v>
      </c>
      <c r="D142" s="11">
        <v>45273.41</v>
      </c>
      <c r="E142" s="11">
        <v>41720</v>
      </c>
      <c r="F142" s="12">
        <v>4.3346804503365866E-2</v>
      </c>
      <c r="H142" s="26">
        <v>85204.118405274508</v>
      </c>
      <c r="I142" s="26">
        <f t="shared" si="14"/>
        <v>85204.118405231027</v>
      </c>
      <c r="J142" s="27">
        <f t="shared" si="17"/>
        <v>-6.3526394651737594E-2</v>
      </c>
      <c r="P142" s="25">
        <f t="shared" si="15"/>
        <v>85204.118405231027</v>
      </c>
      <c r="Q142" s="32">
        <v>1180.1600000000001</v>
      </c>
      <c r="R142" s="34">
        <f t="shared" si="16"/>
        <v>4.4300000000000006E-2</v>
      </c>
      <c r="T142" s="38">
        <f t="shared" si="18"/>
        <v>-6.172257414712945E-2</v>
      </c>
      <c r="U142" s="27">
        <f t="shared" si="19"/>
        <v>-4.3352672537771753E-2</v>
      </c>
      <c r="W142" s="62">
        <v>61.27</v>
      </c>
      <c r="X142" s="63">
        <f t="shared" si="20"/>
        <v>-0.11649464460577541</v>
      </c>
    </row>
    <row r="143" spans="3:24" x14ac:dyDescent="0.3">
      <c r="C143" s="16">
        <v>36963</v>
      </c>
      <c r="D143" s="11">
        <v>45849.760000000002</v>
      </c>
      <c r="E143" s="11">
        <v>41720</v>
      </c>
      <c r="F143" s="12">
        <v>4.3346804503365866E-2</v>
      </c>
      <c r="H143" s="26">
        <v>85781.858210199018</v>
      </c>
      <c r="I143" s="26">
        <f t="shared" si="14"/>
        <v>85781.858210158098</v>
      </c>
      <c r="J143" s="27">
        <f t="shared" si="17"/>
        <v>6.7577706080704679E-3</v>
      </c>
      <c r="P143" s="25">
        <f t="shared" si="15"/>
        <v>85781.858210158098</v>
      </c>
      <c r="Q143" s="32">
        <v>1197.6600000000001</v>
      </c>
      <c r="R143" s="34">
        <f t="shared" si="16"/>
        <v>4.4300000000000006E-2</v>
      </c>
      <c r="T143" s="38">
        <f t="shared" si="18"/>
        <v>6.6102712465696545E-3</v>
      </c>
      <c r="U143" s="27">
        <f t="shared" si="19"/>
        <v>1.4658113215417989E-2</v>
      </c>
      <c r="W143" s="62">
        <v>62.05</v>
      </c>
      <c r="X143" s="63">
        <f t="shared" si="20"/>
        <v>1.2650184913053008E-2</v>
      </c>
    </row>
    <row r="144" spans="3:24" x14ac:dyDescent="0.3">
      <c r="C144" s="16">
        <v>36964</v>
      </c>
      <c r="D144" s="11">
        <v>46367</v>
      </c>
      <c r="E144" s="11">
        <v>41720</v>
      </c>
      <c r="F144" s="12">
        <v>4.200529414503007E-2</v>
      </c>
      <c r="H144" s="26">
        <v>86353.731582749504</v>
      </c>
      <c r="I144" s="26">
        <f t="shared" si="14"/>
        <v>86353.731582710432</v>
      </c>
      <c r="J144" s="27">
        <f t="shared" si="17"/>
        <v>6.6444769174127168E-3</v>
      </c>
      <c r="P144" s="25">
        <f t="shared" si="15"/>
        <v>86353.731582710432</v>
      </c>
      <c r="Q144" s="32">
        <v>1166.71</v>
      </c>
      <c r="R144" s="34">
        <f t="shared" si="16"/>
        <v>4.2899999999999938E-2</v>
      </c>
      <c r="T144" s="38">
        <f t="shared" si="18"/>
        <v>6.4962158113779367E-3</v>
      </c>
      <c r="U144" s="27">
        <f t="shared" si="19"/>
        <v>-2.6012443296479448E-2</v>
      </c>
      <c r="W144" s="62">
        <v>62.75</v>
      </c>
      <c r="X144" s="63">
        <f t="shared" si="20"/>
        <v>1.1218066361277096E-2</v>
      </c>
    </row>
    <row r="145" spans="3:24" x14ac:dyDescent="0.3">
      <c r="C145" s="16">
        <v>36965</v>
      </c>
      <c r="D145" s="11">
        <v>49160.11</v>
      </c>
      <c r="E145" s="11">
        <v>41720</v>
      </c>
      <c r="F145" s="12">
        <v>4.1045969436001022E-2</v>
      </c>
      <c r="H145" s="26">
        <v>89190.292661307307</v>
      </c>
      <c r="I145" s="26">
        <f t="shared" si="14"/>
        <v>89190.292661278043</v>
      </c>
      <c r="J145" s="27">
        <f t="shared" si="17"/>
        <v>3.2320188714372117E-2</v>
      </c>
      <c r="P145" s="25">
        <f t="shared" si="15"/>
        <v>89190.292661278043</v>
      </c>
      <c r="Q145" s="32">
        <v>1173.57</v>
      </c>
      <c r="R145" s="34">
        <f t="shared" si="16"/>
        <v>4.1900000000000048E-2</v>
      </c>
      <c r="T145" s="38">
        <f t="shared" si="18"/>
        <v>3.2683158690753666E-2</v>
      </c>
      <c r="U145" s="27">
        <f t="shared" si="19"/>
        <v>5.7147816081115632E-3</v>
      </c>
      <c r="W145" s="62">
        <v>66.53</v>
      </c>
      <c r="X145" s="63">
        <f t="shared" si="20"/>
        <v>5.8494395741902822E-2</v>
      </c>
    </row>
    <row r="146" spans="3:24" x14ac:dyDescent="0.3">
      <c r="C146" s="16">
        <v>36966</v>
      </c>
      <c r="D146" s="11">
        <v>45990.17</v>
      </c>
      <c r="E146" s="11">
        <v>41720</v>
      </c>
      <c r="F146" s="12">
        <v>4.2197048699788277E-2</v>
      </c>
      <c r="H146" s="26">
        <v>85968.409268786549</v>
      </c>
      <c r="I146" s="26">
        <f t="shared" si="14"/>
        <v>85968.409268745949</v>
      </c>
      <c r="J146" s="27">
        <f t="shared" si="17"/>
        <v>-3.6792312311014562E-2</v>
      </c>
      <c r="P146" s="25">
        <f t="shared" si="15"/>
        <v>85968.409268745949</v>
      </c>
      <c r="Q146" s="32">
        <v>1150.54</v>
      </c>
      <c r="R146" s="34">
        <f t="shared" si="16"/>
        <v>4.3099999999999916E-2</v>
      </c>
      <c r="T146" s="38">
        <f t="shared" si="18"/>
        <v>-3.6284854042631376E-2</v>
      </c>
      <c r="U146" s="27">
        <f t="shared" si="19"/>
        <v>-1.9785036528908173E-2</v>
      </c>
      <c r="W146" s="62">
        <v>62.24</v>
      </c>
      <c r="X146" s="63">
        <f t="shared" si="20"/>
        <v>-6.6655093883659949E-2</v>
      </c>
    </row>
    <row r="147" spans="3:24" x14ac:dyDescent="0.3">
      <c r="C147" s="16">
        <v>36969</v>
      </c>
      <c r="D147" s="11">
        <v>45665.03</v>
      </c>
      <c r="E147" s="11">
        <v>41720</v>
      </c>
      <c r="F147" s="12">
        <v>4.1621674690819448E-2</v>
      </c>
      <c r="H147" s="26">
        <v>85665.452180021603</v>
      </c>
      <c r="I147" s="26">
        <f t="shared" si="14"/>
        <v>85665.45217997946</v>
      </c>
      <c r="J147" s="27">
        <f t="shared" si="17"/>
        <v>-3.5302754462295427E-3</v>
      </c>
      <c r="P147" s="25">
        <f t="shared" si="15"/>
        <v>85665.45217997946</v>
      </c>
      <c r="Q147" s="32">
        <v>1170.81</v>
      </c>
      <c r="R147" s="34">
        <f t="shared" si="16"/>
        <v>4.2499999999999982E-2</v>
      </c>
      <c r="T147" s="38">
        <f t="shared" si="18"/>
        <v>-3.6898205810671492E-3</v>
      </c>
      <c r="U147" s="27">
        <f t="shared" si="19"/>
        <v>1.7452045012977146E-2</v>
      </c>
      <c r="W147" s="62">
        <v>61.8</v>
      </c>
      <c r="X147" s="63">
        <f t="shared" si="20"/>
        <v>-7.0945154064911732E-3</v>
      </c>
    </row>
    <row r="148" spans="3:24" x14ac:dyDescent="0.3">
      <c r="C148" s="16">
        <v>36970</v>
      </c>
      <c r="D148" s="11">
        <v>45036.95</v>
      </c>
      <c r="E148" s="11">
        <v>41720</v>
      </c>
      <c r="F148" s="12">
        <v>4.094998632895417E-2</v>
      </c>
      <c r="H148" s="26">
        <v>85062.596931032022</v>
      </c>
      <c r="I148" s="26">
        <f t="shared" si="14"/>
        <v>85062.596930986838</v>
      </c>
      <c r="J148" s="27">
        <f t="shared" si="17"/>
        <v>-7.0621993014791992E-3</v>
      </c>
      <c r="P148" s="25">
        <f t="shared" si="15"/>
        <v>85062.596930986838</v>
      </c>
      <c r="Q148" s="32">
        <v>1142.6199999999999</v>
      </c>
      <c r="R148" s="34">
        <f t="shared" si="16"/>
        <v>4.1800000000000059E-2</v>
      </c>
      <c r="T148" s="38">
        <f t="shared" si="18"/>
        <v>-7.2007821111242931E-3</v>
      </c>
      <c r="U148" s="27">
        <f t="shared" si="19"/>
        <v>-2.4240809699136667E-2</v>
      </c>
      <c r="W148" s="62">
        <v>60.95</v>
      </c>
      <c r="X148" s="63">
        <f t="shared" si="20"/>
        <v>-1.3849508536364475E-2</v>
      </c>
    </row>
    <row r="149" spans="3:24" x14ac:dyDescent="0.3">
      <c r="C149" s="16">
        <v>36971</v>
      </c>
      <c r="D149" s="11">
        <v>41298.06</v>
      </c>
      <c r="E149" s="11">
        <v>41720</v>
      </c>
      <c r="F149" s="12">
        <v>4.0565961746661751E-2</v>
      </c>
      <c r="H149" s="26">
        <v>81326.451874946244</v>
      </c>
      <c r="I149" s="26">
        <f t="shared" si="14"/>
        <v>81326.451874879553</v>
      </c>
      <c r="J149" s="27">
        <f t="shared" si="17"/>
        <v>-4.4916094987528313E-2</v>
      </c>
      <c r="P149" s="25">
        <f t="shared" si="15"/>
        <v>81326.451874879553</v>
      </c>
      <c r="Q149" s="32">
        <v>1122.1400000000001</v>
      </c>
      <c r="R149" s="34">
        <f t="shared" si="16"/>
        <v>4.1400000000000103E-2</v>
      </c>
      <c r="T149" s="38">
        <f t="shared" si="18"/>
        <v>-4.4083071052079759E-2</v>
      </c>
      <c r="U149" s="27">
        <f t="shared" si="19"/>
        <v>-1.8084488402497212E-2</v>
      </c>
      <c r="W149" s="62">
        <v>55.89</v>
      </c>
      <c r="X149" s="63">
        <f t="shared" si="20"/>
        <v>-8.6668382645673725E-2</v>
      </c>
    </row>
    <row r="150" spans="3:24" x14ac:dyDescent="0.3">
      <c r="C150" s="16">
        <v>36972</v>
      </c>
      <c r="D150" s="11">
        <v>40657.42</v>
      </c>
      <c r="E150" s="11">
        <v>41720</v>
      </c>
      <c r="F150" s="12">
        <v>4.0181789632831762E-2</v>
      </c>
      <c r="H150" s="26">
        <v>80698.289087941521</v>
      </c>
      <c r="I150" s="26">
        <f t="shared" si="14"/>
        <v>80698.289087870158</v>
      </c>
      <c r="J150" s="27">
        <f t="shared" si="17"/>
        <v>-7.7539507924591815E-3</v>
      </c>
      <c r="P150" s="25">
        <f t="shared" si="15"/>
        <v>80698.289087870158</v>
      </c>
      <c r="Q150" s="32">
        <v>1117.58</v>
      </c>
      <c r="R150" s="34">
        <f t="shared" si="16"/>
        <v>4.0999999999999925E-2</v>
      </c>
      <c r="T150" s="38">
        <f t="shared" si="18"/>
        <v>-7.8831972343585965E-3</v>
      </c>
      <c r="U150" s="27">
        <f t="shared" si="19"/>
        <v>-4.2228948396678678E-3</v>
      </c>
      <c r="W150" s="62">
        <v>55.02</v>
      </c>
      <c r="X150" s="63">
        <f t="shared" si="20"/>
        <v>-1.5688717785178254E-2</v>
      </c>
    </row>
    <row r="151" spans="3:24" x14ac:dyDescent="0.3">
      <c r="C151" s="16">
        <v>36973</v>
      </c>
      <c r="D151" s="11">
        <v>43891.63</v>
      </c>
      <c r="E151" s="11">
        <v>41720</v>
      </c>
      <c r="F151" s="12">
        <v>4.0853994008266122E-2</v>
      </c>
      <c r="H151" s="26">
        <v>83917.878691307153</v>
      </c>
      <c r="I151" s="26">
        <f t="shared" si="14"/>
        <v>83917.878691256221</v>
      </c>
      <c r="J151" s="27">
        <f t="shared" si="17"/>
        <v>3.9121311861349539E-2</v>
      </c>
      <c r="P151" s="25">
        <f t="shared" si="15"/>
        <v>83917.878691256221</v>
      </c>
      <c r="Q151" s="32">
        <v>1139.83</v>
      </c>
      <c r="R151" s="34">
        <f t="shared" si="16"/>
        <v>4.170000000000007E-2</v>
      </c>
      <c r="T151" s="38">
        <f t="shared" si="18"/>
        <v>3.9738935486737681E-2</v>
      </c>
      <c r="U151" s="27">
        <f t="shared" si="19"/>
        <v>1.9751396974506896E-2</v>
      </c>
      <c r="W151" s="62">
        <v>59.4</v>
      </c>
      <c r="X151" s="63">
        <f t="shared" si="20"/>
        <v>7.6597470872170628E-2</v>
      </c>
    </row>
    <row r="152" spans="3:24" x14ac:dyDescent="0.3">
      <c r="C152" s="16">
        <v>36976</v>
      </c>
      <c r="D152" s="11">
        <v>45428.57</v>
      </c>
      <c r="E152" s="11">
        <v>41720</v>
      </c>
      <c r="F152" s="12">
        <v>4.094998632895417E-2</v>
      </c>
      <c r="H152" s="26">
        <v>85455.215882985489</v>
      </c>
      <c r="I152" s="26">
        <f t="shared" si="14"/>
        <v>85455.215882942139</v>
      </c>
      <c r="J152" s="27">
        <f t="shared" si="17"/>
        <v>1.8153761854503001E-2</v>
      </c>
      <c r="P152" s="25">
        <f t="shared" si="15"/>
        <v>85455.215882942139</v>
      </c>
      <c r="Q152" s="32">
        <v>1152.69</v>
      </c>
      <c r="R152" s="34">
        <f t="shared" si="16"/>
        <v>4.1800000000000059E-2</v>
      </c>
      <c r="T152" s="38">
        <f t="shared" si="18"/>
        <v>1.8159158438628475E-2</v>
      </c>
      <c r="U152" s="27">
        <f t="shared" si="19"/>
        <v>1.1121999599805532E-2</v>
      </c>
      <c r="W152" s="62">
        <v>61.48</v>
      </c>
      <c r="X152" s="63">
        <f t="shared" si="20"/>
        <v>3.4417692301795803E-2</v>
      </c>
    </row>
    <row r="153" spans="3:24" x14ac:dyDescent="0.3">
      <c r="C153" s="16">
        <v>36977</v>
      </c>
      <c r="D153" s="11">
        <v>44674.91</v>
      </c>
      <c r="E153" s="11">
        <v>41720</v>
      </c>
      <c r="F153" s="12">
        <v>4.200529414503007E-2</v>
      </c>
      <c r="H153" s="26">
        <v>84657.50025503595</v>
      </c>
      <c r="I153" s="26">
        <f t="shared" si="14"/>
        <v>84657.500254989311</v>
      </c>
      <c r="J153" s="27">
        <f t="shared" si="17"/>
        <v>-9.3787400890146932E-3</v>
      </c>
      <c r="P153" s="25">
        <f t="shared" si="15"/>
        <v>84657.500254989311</v>
      </c>
      <c r="Q153" s="32">
        <v>1182.17</v>
      </c>
      <c r="R153" s="34">
        <f t="shared" si="16"/>
        <v>4.2899999999999938E-2</v>
      </c>
      <c r="T153" s="38">
        <f t="shared" si="18"/>
        <v>-9.4956661087497451E-3</v>
      </c>
      <c r="U153" s="27">
        <f t="shared" si="19"/>
        <v>2.5414190211925591E-2</v>
      </c>
      <c r="W153" s="62">
        <v>60.46</v>
      </c>
      <c r="X153" s="63">
        <f t="shared" si="20"/>
        <v>-1.6729929319083056E-2</v>
      </c>
    </row>
    <row r="154" spans="3:24" x14ac:dyDescent="0.3">
      <c r="C154" s="16">
        <v>36978</v>
      </c>
      <c r="D154" s="11">
        <v>43828.67</v>
      </c>
      <c r="E154" s="11">
        <v>41720</v>
      </c>
      <c r="F154" s="12">
        <v>4.1333863492977213E-2</v>
      </c>
      <c r="H154" s="26">
        <v>83835.588522107137</v>
      </c>
      <c r="I154" s="26">
        <f t="shared" si="14"/>
        <v>83835.588522056001</v>
      </c>
      <c r="J154" s="27">
        <f t="shared" si="17"/>
        <v>-9.7561064150934532E-3</v>
      </c>
      <c r="P154" s="25">
        <f t="shared" si="15"/>
        <v>83835.588522056001</v>
      </c>
      <c r="Q154" s="32">
        <v>1153.29</v>
      </c>
      <c r="R154" s="34">
        <f t="shared" si="16"/>
        <v>4.2200000000000015E-2</v>
      </c>
      <c r="T154" s="38">
        <f t="shared" si="18"/>
        <v>-9.8736699992050259E-3</v>
      </c>
      <c r="U154" s="27">
        <f t="shared" si="19"/>
        <v>-2.4594650557872466E-2</v>
      </c>
      <c r="W154" s="62">
        <v>58.1</v>
      </c>
      <c r="X154" s="63">
        <f t="shared" si="20"/>
        <v>-3.9816325493446492E-2</v>
      </c>
    </row>
    <row r="155" spans="3:24" x14ac:dyDescent="0.3">
      <c r="C155" s="16">
        <v>36979</v>
      </c>
      <c r="D155" s="11">
        <v>41724.03</v>
      </c>
      <c r="E155" s="11">
        <v>41720</v>
      </c>
      <c r="F155" s="12">
        <v>4.0757992472167826E-2</v>
      </c>
      <c r="H155" s="26">
        <v>81746.524792860975</v>
      </c>
      <c r="I155" s="26">
        <f t="shared" si="14"/>
        <v>81746.524792797223</v>
      </c>
      <c r="J155" s="27">
        <f t="shared" si="17"/>
        <v>-2.5234302675278555E-2</v>
      </c>
      <c r="P155" s="25">
        <f t="shared" si="15"/>
        <v>81746.524792797223</v>
      </c>
      <c r="Q155" s="32">
        <v>1147.95</v>
      </c>
      <c r="R155" s="34">
        <f t="shared" si="16"/>
        <v>4.1600000000000081E-2</v>
      </c>
      <c r="T155" s="38">
        <f t="shared" si="18"/>
        <v>-2.5080886616688614E-2</v>
      </c>
      <c r="U155" s="27">
        <f t="shared" si="19"/>
        <v>-4.7925394640214725E-3</v>
      </c>
      <c r="W155" s="62">
        <v>55.31</v>
      </c>
      <c r="X155" s="63">
        <f t="shared" si="20"/>
        <v>-4.9211939851278884E-2</v>
      </c>
    </row>
    <row r="156" spans="3:24" x14ac:dyDescent="0.3">
      <c r="C156" s="16">
        <v>36980</v>
      </c>
      <c r="D156" s="11">
        <v>43828.67</v>
      </c>
      <c r="E156" s="11">
        <v>41720</v>
      </c>
      <c r="F156" s="12">
        <v>4.2101176018635326E-2</v>
      </c>
      <c r="H156" s="26">
        <v>83805.004751684479</v>
      </c>
      <c r="I156" s="26">
        <f t="shared" si="14"/>
        <v>83805.004751633562</v>
      </c>
      <c r="J156" s="27">
        <f t="shared" si="17"/>
        <v>2.4869429583807109E-2</v>
      </c>
      <c r="P156" s="25">
        <f t="shared" si="15"/>
        <v>83805.004751633562</v>
      </c>
      <c r="Q156" s="32">
        <v>1160.33</v>
      </c>
      <c r="R156" s="34">
        <f t="shared" si="16"/>
        <v>4.2999999999999927E-2</v>
      </c>
      <c r="T156" s="38">
        <f t="shared" si="18"/>
        <v>2.5021253442320202E-2</v>
      </c>
      <c r="U156" s="27">
        <f t="shared" si="19"/>
        <v>1.0624441831090126E-2</v>
      </c>
      <c r="W156" s="62">
        <v>58.1</v>
      </c>
      <c r="X156" s="63">
        <f t="shared" si="20"/>
        <v>4.9211939851278842E-2</v>
      </c>
    </row>
    <row r="157" spans="3:24" x14ac:dyDescent="0.3">
      <c r="C157" s="16">
        <v>36983</v>
      </c>
      <c r="D157" s="11">
        <v>42674.52</v>
      </c>
      <c r="E157" s="11">
        <v>54033</v>
      </c>
      <c r="F157" s="12">
        <v>4.0181789632831762E-2</v>
      </c>
      <c r="H157" s="26">
        <v>94454.184625809896</v>
      </c>
      <c r="I157" s="26">
        <f t="shared" si="14"/>
        <v>94454.184625610113</v>
      </c>
      <c r="J157" s="27">
        <f t="shared" si="17"/>
        <v>0.11962216988406137</v>
      </c>
      <c r="P157" s="25">
        <f t="shared" si="15"/>
        <v>94454.184625610113</v>
      </c>
      <c r="Q157" s="32">
        <v>1145.8699999999999</v>
      </c>
      <c r="R157" s="34">
        <f t="shared" si="16"/>
        <v>4.0999999999999925E-2</v>
      </c>
      <c r="T157" s="38">
        <f t="shared" si="18"/>
        <v>0.12690554516424735</v>
      </c>
      <c r="U157" s="27">
        <f t="shared" si="19"/>
        <v>-1.2627356640584342E-2</v>
      </c>
      <c r="W157" s="62">
        <v>56.57</v>
      </c>
      <c r="X157" s="63">
        <f t="shared" si="20"/>
        <v>-2.6686854502801199E-2</v>
      </c>
    </row>
    <row r="158" spans="3:24" x14ac:dyDescent="0.3">
      <c r="C158" s="16">
        <v>36984</v>
      </c>
      <c r="D158" s="11">
        <v>40781.07</v>
      </c>
      <c r="E158" s="11">
        <v>54033</v>
      </c>
      <c r="F158" s="12">
        <v>3.9316862376950409E-2</v>
      </c>
      <c r="H158" s="26">
        <v>92579.145883284145</v>
      </c>
      <c r="I158" s="26">
        <f t="shared" si="14"/>
        <v>92579.145883053076</v>
      </c>
      <c r="J158" s="27">
        <f t="shared" si="17"/>
        <v>-2.0050988317238477E-2</v>
      </c>
      <c r="P158" s="25">
        <f t="shared" si="15"/>
        <v>92579.145883053076</v>
      </c>
      <c r="Q158" s="32">
        <v>1106.47</v>
      </c>
      <c r="R158" s="34">
        <f t="shared" si="16"/>
        <v>4.0100000000000025E-2</v>
      </c>
      <c r="T158" s="38">
        <f t="shared" si="18"/>
        <v>-2.0008996408078739E-2</v>
      </c>
      <c r="U158" s="27">
        <f t="shared" si="19"/>
        <v>-3.4542046553810768E-2</v>
      </c>
      <c r="W158" s="62">
        <v>54.06</v>
      </c>
      <c r="X158" s="63">
        <f t="shared" si="20"/>
        <v>-4.5384268506762755E-2</v>
      </c>
    </row>
    <row r="159" spans="3:24" x14ac:dyDescent="0.3">
      <c r="C159" s="16">
        <v>36985</v>
      </c>
      <c r="D159" s="11">
        <v>40524.57</v>
      </c>
      <c r="E159" s="11">
        <v>54033</v>
      </c>
      <c r="F159" s="12">
        <v>3.8932210001787537E-2</v>
      </c>
      <c r="H159" s="26">
        <v>92338.429630804254</v>
      </c>
      <c r="I159" s="26">
        <f t="shared" si="14"/>
        <v>92338.429630568353</v>
      </c>
      <c r="J159" s="27">
        <f t="shared" si="17"/>
        <v>-2.6034992918267147E-3</v>
      </c>
      <c r="P159" s="25">
        <f t="shared" si="15"/>
        <v>92338.429630568353</v>
      </c>
      <c r="Q159" s="32">
        <v>1103.25</v>
      </c>
      <c r="R159" s="34">
        <f t="shared" si="16"/>
        <v>3.9700000000000069E-2</v>
      </c>
      <c r="T159" s="38">
        <f t="shared" si="18"/>
        <v>-2.7543438960985211E-3</v>
      </c>
      <c r="U159" s="27">
        <f t="shared" si="19"/>
        <v>-3.0643864896751083E-3</v>
      </c>
      <c r="W159" s="62">
        <v>53.72</v>
      </c>
      <c r="X159" s="63">
        <f t="shared" si="20"/>
        <v>-6.309169193264832E-3</v>
      </c>
    </row>
    <row r="160" spans="3:24" x14ac:dyDescent="0.3">
      <c r="C160" s="16">
        <v>36986</v>
      </c>
      <c r="D160" s="11">
        <v>42018.23</v>
      </c>
      <c r="E160" s="11">
        <v>54033</v>
      </c>
      <c r="F160" s="12">
        <v>3.9316862376950409E-2</v>
      </c>
      <c r="H160" s="26">
        <v>93833.796479199882</v>
      </c>
      <c r="I160" s="26">
        <f t="shared" si="14"/>
        <v>93833.796478989228</v>
      </c>
      <c r="J160" s="27">
        <f t="shared" si="17"/>
        <v>1.6064684181109623E-2</v>
      </c>
      <c r="P160" s="25">
        <f t="shared" si="15"/>
        <v>93833.796478989228</v>
      </c>
      <c r="Q160" s="32">
        <v>1151.44</v>
      </c>
      <c r="R160" s="34">
        <f t="shared" si="16"/>
        <v>4.0100000000000025E-2</v>
      </c>
      <c r="T160" s="38">
        <f t="shared" si="18"/>
        <v>1.6041722676443992E-2</v>
      </c>
      <c r="U160" s="27">
        <f t="shared" si="19"/>
        <v>4.3527343948822628E-2</v>
      </c>
      <c r="W160" s="62">
        <v>55.7</v>
      </c>
      <c r="X160" s="63">
        <f t="shared" si="20"/>
        <v>3.6194775278201578E-2</v>
      </c>
    </row>
    <row r="161" spans="3:24" x14ac:dyDescent="0.3">
      <c r="C161" s="16">
        <v>36987</v>
      </c>
      <c r="D161" s="11">
        <v>40358.629999999997</v>
      </c>
      <c r="E161" s="11">
        <v>54033</v>
      </c>
      <c r="F161" s="12">
        <v>3.9220713153281329E-2</v>
      </c>
      <c r="H161" s="26">
        <v>92155.144648220885</v>
      </c>
      <c r="I161" s="26">
        <f t="shared" si="14"/>
        <v>92155.144647982364</v>
      </c>
      <c r="J161" s="27">
        <f t="shared" si="17"/>
        <v>-1.8051583113463464E-2</v>
      </c>
      <c r="P161" s="25">
        <f t="shared" si="15"/>
        <v>92155.144647982364</v>
      </c>
      <c r="Q161" s="32">
        <v>1128.43</v>
      </c>
      <c r="R161" s="34">
        <f t="shared" si="16"/>
        <v>4.0000000000000036E-2</v>
      </c>
      <c r="T161" s="38">
        <f t="shared" si="18"/>
        <v>-1.8043860028585601E-2</v>
      </c>
      <c r="U161" s="27">
        <f t="shared" si="19"/>
        <v>-2.0137903387864919E-2</v>
      </c>
      <c r="W161" s="62">
        <v>53.5</v>
      </c>
      <c r="X161" s="63">
        <f t="shared" si="20"/>
        <v>-4.0298493031277582E-2</v>
      </c>
    </row>
    <row r="162" spans="3:24" x14ac:dyDescent="0.3">
      <c r="C162" s="16">
        <v>36990</v>
      </c>
      <c r="D162" s="11">
        <v>42214.36</v>
      </c>
      <c r="E162" s="11">
        <v>54033</v>
      </c>
      <c r="F162" s="12">
        <v>3.864362359220453E-2</v>
      </c>
      <c r="H162" s="26">
        <v>94067.034405124476</v>
      </c>
      <c r="I162" s="26">
        <f t="shared" si="14"/>
        <v>94067.034404916325</v>
      </c>
      <c r="J162" s="27">
        <f t="shared" si="17"/>
        <v>2.0534148460476881E-2</v>
      </c>
      <c r="P162" s="25">
        <f t="shared" si="15"/>
        <v>94067.034404916325</v>
      </c>
      <c r="Q162" s="32">
        <v>1137.5899999999999</v>
      </c>
      <c r="R162" s="34">
        <f t="shared" si="16"/>
        <v>3.9400000000000102E-2</v>
      </c>
      <c r="T162" s="38">
        <f t="shared" si="18"/>
        <v>2.0592578413518581E-2</v>
      </c>
      <c r="U162" s="27">
        <f t="shared" si="19"/>
        <v>7.9636267952953865E-3</v>
      </c>
      <c r="W162" s="62">
        <v>55.96</v>
      </c>
      <c r="X162" s="63">
        <f t="shared" si="20"/>
        <v>4.4955495895319664E-2</v>
      </c>
    </row>
    <row r="163" spans="3:24" x14ac:dyDescent="0.3">
      <c r="C163" s="16">
        <v>36991</v>
      </c>
      <c r="D163" s="11">
        <v>44371.839999999997</v>
      </c>
      <c r="E163" s="11">
        <v>54033</v>
      </c>
      <c r="F163" s="12">
        <v>3.9605254592359418E-2</v>
      </c>
      <c r="H163" s="26">
        <v>96200.491792623317</v>
      </c>
      <c r="I163" s="26">
        <f t="shared" si="14"/>
        <v>96200.491792447152</v>
      </c>
      <c r="J163" s="27">
        <f t="shared" si="17"/>
        <v>2.242680976638993E-2</v>
      </c>
      <c r="P163" s="25">
        <f t="shared" si="15"/>
        <v>96200.491792447152</v>
      </c>
      <c r="Q163" s="32">
        <v>1168.3800000000001</v>
      </c>
      <c r="R163" s="34">
        <f t="shared" si="16"/>
        <v>4.0399999999999991E-2</v>
      </c>
      <c r="T163" s="38">
        <f t="shared" si="18"/>
        <v>2.2528642762706941E-2</v>
      </c>
      <c r="U163" s="27">
        <f t="shared" si="19"/>
        <v>2.6914451921640214E-2</v>
      </c>
      <c r="W163" s="62">
        <v>58.82</v>
      </c>
      <c r="X163" s="63">
        <f t="shared" si="20"/>
        <v>4.9844783328568523E-2</v>
      </c>
    </row>
    <row r="164" spans="3:24" x14ac:dyDescent="0.3">
      <c r="C164" s="16">
        <v>36992</v>
      </c>
      <c r="D164" s="11">
        <v>44137.96</v>
      </c>
      <c r="E164" s="11">
        <v>54033</v>
      </c>
      <c r="F164" s="12">
        <v>4.027784649857008E-2</v>
      </c>
      <c r="H164" s="26">
        <v>95929.597032414284</v>
      </c>
      <c r="I164" s="26">
        <f t="shared" si="14"/>
        <v>95929.597032235484</v>
      </c>
      <c r="J164" s="27">
        <f t="shared" si="17"/>
        <v>-2.8199116689776997E-3</v>
      </c>
      <c r="P164" s="25">
        <f t="shared" si="15"/>
        <v>95929.597032235484</v>
      </c>
      <c r="Q164" s="32">
        <v>1165.8900000000001</v>
      </c>
      <c r="R164" s="34">
        <f t="shared" si="16"/>
        <v>4.1099999999999914E-2</v>
      </c>
      <c r="T164" s="38">
        <f t="shared" si="18"/>
        <v>-2.9713240681279451E-3</v>
      </c>
      <c r="U164" s="27">
        <f t="shared" si="19"/>
        <v>-2.2865405749182832E-3</v>
      </c>
      <c r="W164" s="62">
        <v>58.51</v>
      </c>
      <c r="X164" s="63">
        <f t="shared" si="20"/>
        <v>-5.2842533257043221E-3</v>
      </c>
    </row>
    <row r="165" spans="3:24" x14ac:dyDescent="0.3">
      <c r="C165" s="16">
        <v>36993</v>
      </c>
      <c r="D165" s="11">
        <v>43225.21</v>
      </c>
      <c r="E165" s="11">
        <v>54033</v>
      </c>
      <c r="F165" s="12">
        <v>4.0853994008266122E-2</v>
      </c>
      <c r="H165" s="26">
        <v>94977.065622279595</v>
      </c>
      <c r="I165" s="26">
        <f t="shared" si="14"/>
        <v>94977.06562208847</v>
      </c>
      <c r="J165" s="27">
        <f t="shared" si="17"/>
        <v>-9.9791102259985057E-3</v>
      </c>
      <c r="P165" s="25">
        <f t="shared" si="15"/>
        <v>94977.06562208847</v>
      </c>
      <c r="Q165" s="32">
        <v>1183.5</v>
      </c>
      <c r="R165" s="34">
        <f t="shared" si="16"/>
        <v>4.170000000000007E-2</v>
      </c>
      <c r="T165" s="38">
        <f t="shared" si="18"/>
        <v>-1.0087561040756809E-2</v>
      </c>
      <c r="U165" s="27">
        <f t="shared" si="19"/>
        <v>1.4946263966715279E-2</v>
      </c>
      <c r="W165" s="62">
        <v>57.3</v>
      </c>
      <c r="X165" s="63">
        <f t="shared" si="20"/>
        <v>-2.0897056079450815E-2</v>
      </c>
    </row>
    <row r="166" spans="3:24" x14ac:dyDescent="0.3">
      <c r="C166" s="16">
        <v>36994</v>
      </c>
      <c r="D166" s="11">
        <v>43225.21</v>
      </c>
      <c r="E166" s="11">
        <v>54033</v>
      </c>
      <c r="F166" s="12">
        <v>3.9893563661676623E-2</v>
      </c>
      <c r="H166" s="26">
        <v>95026.30598712081</v>
      </c>
      <c r="I166" s="26">
        <f t="shared" si="14"/>
        <v>95026.305986928885</v>
      </c>
      <c r="J166" s="27">
        <f t="shared" si="17"/>
        <v>5.1831044393027569E-4</v>
      </c>
      <c r="P166" s="25">
        <f t="shared" si="15"/>
        <v>95026.305986928885</v>
      </c>
      <c r="Q166" s="32">
        <v>1183.5</v>
      </c>
      <c r="R166" s="34">
        <f t="shared" si="16"/>
        <v>4.0699999999999958E-2</v>
      </c>
      <c r="T166" s="38">
        <f t="shared" si="18"/>
        <v>3.5806017460648931E-4</v>
      </c>
      <c r="U166" s="27">
        <f t="shared" si="19"/>
        <v>-1.6038461538459003E-4</v>
      </c>
      <c r="W166" s="62">
        <v>57.3</v>
      </c>
      <c r="X166" s="63">
        <f t="shared" si="20"/>
        <v>0</v>
      </c>
    </row>
    <row r="167" spans="3:24" x14ac:dyDescent="0.3">
      <c r="C167" s="16">
        <v>36997</v>
      </c>
      <c r="D167" s="11">
        <v>44839.519999999997</v>
      </c>
      <c r="E167" s="11">
        <v>54033</v>
      </c>
      <c r="F167" s="12">
        <v>4.1717593351868469E-2</v>
      </c>
      <c r="H167" s="26">
        <v>96564.547256330858</v>
      </c>
      <c r="I167" s="26">
        <f t="shared" si="14"/>
        <v>96564.547256162434</v>
      </c>
      <c r="J167" s="27">
        <f t="shared" si="17"/>
        <v>1.6057909830400209E-2</v>
      </c>
      <c r="P167" s="25">
        <f t="shared" si="15"/>
        <v>96564.547256162434</v>
      </c>
      <c r="Q167" s="32">
        <v>1179.68</v>
      </c>
      <c r="R167" s="34">
        <f t="shared" si="16"/>
        <v>4.2599999999999971E-2</v>
      </c>
      <c r="T167" s="38">
        <f t="shared" si="18"/>
        <v>1.6030992488524243E-2</v>
      </c>
      <c r="U167" s="27">
        <f t="shared" si="19"/>
        <v>-3.3842528679600692E-3</v>
      </c>
      <c r="W167" s="62">
        <v>59.44</v>
      </c>
      <c r="X167" s="63">
        <f t="shared" si="20"/>
        <v>3.6666776688809841E-2</v>
      </c>
    </row>
    <row r="168" spans="3:24" x14ac:dyDescent="0.3">
      <c r="C168" s="16">
        <v>36998</v>
      </c>
      <c r="D168" s="11">
        <v>45261.98</v>
      </c>
      <c r="E168" s="11">
        <v>54033</v>
      </c>
      <c r="F168" s="12">
        <v>4.0853994008266122E-2</v>
      </c>
      <c r="H168" s="26">
        <v>97035.439930551685</v>
      </c>
      <c r="I168" s="26">
        <f t="shared" si="14"/>
        <v>97035.439930387991</v>
      </c>
      <c r="J168" s="27">
        <f t="shared" si="17"/>
        <v>4.8646036570314469E-3</v>
      </c>
      <c r="P168" s="25">
        <f t="shared" si="15"/>
        <v>97035.439930387991</v>
      </c>
      <c r="Q168" s="32">
        <v>1191.81</v>
      </c>
      <c r="R168" s="34">
        <f t="shared" si="16"/>
        <v>4.170000000000007E-2</v>
      </c>
      <c r="T168" s="38">
        <f t="shared" si="18"/>
        <v>4.7126088972646585E-3</v>
      </c>
      <c r="U168" s="27">
        <f t="shared" si="19"/>
        <v>1.0118603323978181E-2</v>
      </c>
      <c r="W168" s="62">
        <v>60</v>
      </c>
      <c r="X168" s="63">
        <f t="shared" si="20"/>
        <v>9.3771618125970055E-3</v>
      </c>
    </row>
    <row r="169" spans="3:24" x14ac:dyDescent="0.3">
      <c r="C169" s="16">
        <v>36999</v>
      </c>
      <c r="D169" s="11">
        <v>46484.07</v>
      </c>
      <c r="E169" s="11">
        <v>54033</v>
      </c>
      <c r="F169" s="12">
        <v>3.8932210001787537E-2</v>
      </c>
      <c r="H169" s="26">
        <v>98367.399086230856</v>
      </c>
      <c r="I169" s="26">
        <f t="shared" si="14"/>
        <v>98367.399086080462</v>
      </c>
      <c r="J169" s="27">
        <f t="shared" si="17"/>
        <v>1.3633167179200528E-2</v>
      </c>
      <c r="P169" s="25">
        <f t="shared" si="15"/>
        <v>98367.399086080462</v>
      </c>
      <c r="Q169" s="32">
        <v>1238.1600000000001</v>
      </c>
      <c r="R169" s="34">
        <f t="shared" si="16"/>
        <v>3.9700000000000069E-2</v>
      </c>
      <c r="T169" s="38">
        <f t="shared" si="18"/>
        <v>1.356613794841266E-2</v>
      </c>
      <c r="U169" s="27">
        <f t="shared" si="19"/>
        <v>3.8730042550019439E-2</v>
      </c>
      <c r="W169" s="62">
        <v>61.62</v>
      </c>
      <c r="X169" s="63">
        <f t="shared" si="20"/>
        <v>2.6641930946421092E-2</v>
      </c>
    </row>
    <row r="170" spans="3:24" x14ac:dyDescent="0.3">
      <c r="C170" s="16">
        <v>37000</v>
      </c>
      <c r="D170" s="11">
        <v>46137.05</v>
      </c>
      <c r="E170" s="11">
        <v>54033</v>
      </c>
      <c r="F170" s="12">
        <v>3.864362359220453E-2</v>
      </c>
      <c r="H170" s="26">
        <v>98032.215059621332</v>
      </c>
      <c r="I170" s="26">
        <f t="shared" si="14"/>
        <v>98032.215059466704</v>
      </c>
      <c r="J170" s="27">
        <f t="shared" si="17"/>
        <v>-3.4132893131201846E-3</v>
      </c>
      <c r="P170" s="25">
        <f t="shared" si="15"/>
        <v>98032.215059466704</v>
      </c>
      <c r="Q170" s="32">
        <v>1253.7</v>
      </c>
      <c r="R170" s="34">
        <f t="shared" si="16"/>
        <v>3.9400000000000102E-2</v>
      </c>
      <c r="T170" s="38">
        <f t="shared" si="18"/>
        <v>-3.5601629710207972E-3</v>
      </c>
      <c r="U170" s="27">
        <f t="shared" si="19"/>
        <v>1.2398189646174673E-2</v>
      </c>
      <c r="W170" s="62">
        <v>61.16</v>
      </c>
      <c r="X170" s="63">
        <f t="shared" si="20"/>
        <v>-7.4931121076603309E-3</v>
      </c>
    </row>
    <row r="171" spans="3:24" x14ac:dyDescent="0.3">
      <c r="C171" s="16">
        <v>37001</v>
      </c>
      <c r="D171" s="11">
        <v>45254.45</v>
      </c>
      <c r="E171" s="11">
        <v>54033</v>
      </c>
      <c r="F171" s="12">
        <v>3.9605254592359418E-2</v>
      </c>
      <c r="H171" s="26">
        <v>97091.986506597532</v>
      </c>
      <c r="I171" s="26">
        <f t="shared" si="14"/>
        <v>97091.986506432833</v>
      </c>
      <c r="J171" s="27">
        <f t="shared" si="17"/>
        <v>-9.6373061122283915E-3</v>
      </c>
      <c r="P171" s="25">
        <f t="shared" si="15"/>
        <v>97091.986506432833</v>
      </c>
      <c r="Q171" s="32">
        <v>1242.98</v>
      </c>
      <c r="R171" s="34">
        <f t="shared" si="16"/>
        <v>4.0399999999999991E-2</v>
      </c>
      <c r="T171" s="38">
        <f t="shared" si="18"/>
        <v>-9.7425545623531784E-3</v>
      </c>
      <c r="U171" s="27">
        <f t="shared" si="19"/>
        <v>-8.7022284192636024E-3</v>
      </c>
      <c r="W171" s="62">
        <v>59.99</v>
      </c>
      <c r="X171" s="63">
        <f t="shared" si="20"/>
        <v>-1.9315499395859713E-2</v>
      </c>
    </row>
    <row r="172" spans="3:24" x14ac:dyDescent="0.3">
      <c r="C172" s="16">
        <v>37004</v>
      </c>
      <c r="D172" s="11">
        <v>46506.68</v>
      </c>
      <c r="E172" s="11">
        <v>54033</v>
      </c>
      <c r="F172" s="12">
        <v>3.7006725629095738E-2</v>
      </c>
      <c r="H172" s="26">
        <v>98489.430980249934</v>
      </c>
      <c r="I172" s="26">
        <f t="shared" si="14"/>
        <v>98489.430980098492</v>
      </c>
      <c r="J172" s="27">
        <f t="shared" si="17"/>
        <v>1.4290399089862111E-2</v>
      </c>
      <c r="P172" s="25">
        <f t="shared" si="15"/>
        <v>98489.430980098492</v>
      </c>
      <c r="Q172" s="32">
        <v>1224.3599999999999</v>
      </c>
      <c r="R172" s="34">
        <f t="shared" si="16"/>
        <v>3.7700000000000067E-2</v>
      </c>
      <c r="T172" s="38">
        <f t="shared" si="18"/>
        <v>1.4237610357203279E-2</v>
      </c>
      <c r="U172" s="27">
        <f t="shared" si="19"/>
        <v>-1.5135513016485191E-2</v>
      </c>
      <c r="W172" s="62">
        <v>61.65</v>
      </c>
      <c r="X172" s="63">
        <f t="shared" si="20"/>
        <v>2.7295347945351548E-2</v>
      </c>
    </row>
    <row r="173" spans="3:24" x14ac:dyDescent="0.3">
      <c r="C173" s="16">
        <v>37005</v>
      </c>
      <c r="D173" s="11">
        <v>46672.65</v>
      </c>
      <c r="E173" s="11">
        <v>54033</v>
      </c>
      <c r="F173" s="12">
        <v>3.6910354020097152E-2</v>
      </c>
      <c r="H173" s="26">
        <v>98661.790468906824</v>
      </c>
      <c r="I173" s="26">
        <f t="shared" si="14"/>
        <v>98661.790468757215</v>
      </c>
      <c r="J173" s="27">
        <f t="shared" si="17"/>
        <v>1.7485007833296785E-3</v>
      </c>
      <c r="P173" s="25">
        <f t="shared" si="15"/>
        <v>98661.790468757215</v>
      </c>
      <c r="Q173" s="32">
        <v>1209.47</v>
      </c>
      <c r="R173" s="34">
        <f t="shared" si="16"/>
        <v>3.7600000000000078E-2</v>
      </c>
      <c r="T173" s="38">
        <f t="shared" si="18"/>
        <v>1.6050303021706291E-3</v>
      </c>
      <c r="U173" s="27">
        <f t="shared" si="19"/>
        <v>-1.2306455780979442E-2</v>
      </c>
      <c r="W173" s="62">
        <v>61.87</v>
      </c>
      <c r="X173" s="63">
        <f t="shared" si="20"/>
        <v>3.5621799325441053E-3</v>
      </c>
    </row>
    <row r="174" spans="3:24" x14ac:dyDescent="0.3">
      <c r="C174" s="16">
        <v>37006</v>
      </c>
      <c r="D174" s="11">
        <v>47434.55</v>
      </c>
      <c r="E174" s="11">
        <v>54033</v>
      </c>
      <c r="F174" s="12">
        <v>3.7777364334029923E-2</v>
      </c>
      <c r="H174" s="26">
        <v>99385.172008410038</v>
      </c>
      <c r="I174" s="26">
        <f t="shared" si="14"/>
        <v>99385.17200826951</v>
      </c>
      <c r="J174" s="27">
        <f t="shared" si="17"/>
        <v>7.3051840576877011E-3</v>
      </c>
      <c r="P174" s="25">
        <f t="shared" si="15"/>
        <v>99385.17200826951</v>
      </c>
      <c r="Q174" s="32">
        <v>1228.75</v>
      </c>
      <c r="R174" s="34">
        <f t="shared" si="16"/>
        <v>3.8499999999999979E-2</v>
      </c>
      <c r="T174" s="38">
        <f t="shared" si="18"/>
        <v>7.1873166234639463E-3</v>
      </c>
      <c r="U174" s="27">
        <f t="shared" si="19"/>
        <v>1.5796251275987938E-2</v>
      </c>
      <c r="W174" s="62">
        <v>62.88</v>
      </c>
      <c r="X174" s="63">
        <f t="shared" si="20"/>
        <v>1.6192738578053725E-2</v>
      </c>
    </row>
    <row r="175" spans="3:24" x14ac:dyDescent="0.3">
      <c r="C175" s="16">
        <v>37007</v>
      </c>
      <c r="D175" s="11">
        <v>48022.98</v>
      </c>
      <c r="E175" s="11">
        <v>54033</v>
      </c>
      <c r="F175" s="12">
        <v>3.7584760327271212E-2</v>
      </c>
      <c r="H175" s="26">
        <v>99988.01644448463</v>
      </c>
      <c r="I175" s="26">
        <f t="shared" si="14"/>
        <v>99988.0164443502</v>
      </c>
      <c r="J175" s="27">
        <f t="shared" si="17"/>
        <v>6.0474156829410826E-3</v>
      </c>
      <c r="P175" s="25">
        <f t="shared" si="15"/>
        <v>99988.0164443502</v>
      </c>
      <c r="Q175" s="32">
        <v>1234.52</v>
      </c>
      <c r="R175" s="34">
        <f t="shared" si="16"/>
        <v>3.8300000000000001E-2</v>
      </c>
      <c r="T175" s="38">
        <f t="shared" si="18"/>
        <v>5.9176612941949092E-3</v>
      </c>
      <c r="U175" s="27">
        <f t="shared" si="19"/>
        <v>4.5477521715315827E-3</v>
      </c>
      <c r="W175" s="62">
        <v>63.66</v>
      </c>
      <c r="X175" s="63">
        <f t="shared" si="20"/>
        <v>1.232827373299567E-2</v>
      </c>
    </row>
    <row r="176" spans="3:24" x14ac:dyDescent="0.3">
      <c r="C176" s="16">
        <v>37008</v>
      </c>
      <c r="D176" s="11">
        <v>47902.27</v>
      </c>
      <c r="E176" s="11">
        <v>54033</v>
      </c>
      <c r="F176" s="12">
        <v>3.7488444410991605E-2</v>
      </c>
      <c r="H176" s="26">
        <v>99871.379411127462</v>
      </c>
      <c r="I176" s="26">
        <f t="shared" si="14"/>
        <v>99871.379410991722</v>
      </c>
      <c r="J176" s="27">
        <f t="shared" si="17"/>
        <v>-1.1671910254646405E-3</v>
      </c>
      <c r="P176" s="25">
        <f t="shared" si="15"/>
        <v>99871.379410991722</v>
      </c>
      <c r="Q176" s="32">
        <v>1253.05</v>
      </c>
      <c r="R176" s="34">
        <f t="shared" si="16"/>
        <v>3.8200000000000012E-2</v>
      </c>
      <c r="T176" s="38">
        <f t="shared" si="18"/>
        <v>-1.313817815282281E-3</v>
      </c>
      <c r="U176" s="27">
        <f t="shared" si="19"/>
        <v>1.4862574691128616E-2</v>
      </c>
      <c r="W176" s="62">
        <v>63.5</v>
      </c>
      <c r="X176" s="63">
        <f t="shared" si="20"/>
        <v>-2.516515955300799E-3</v>
      </c>
    </row>
    <row r="177" spans="3:24" x14ac:dyDescent="0.3">
      <c r="C177" s="16">
        <v>37011</v>
      </c>
      <c r="D177" s="11">
        <v>47313.88</v>
      </c>
      <c r="E177" s="11">
        <v>54033</v>
      </c>
      <c r="F177" s="12">
        <v>3.9028386967478401E-2</v>
      </c>
      <c r="H177" s="26">
        <v>99199.069377022912</v>
      </c>
      <c r="I177" s="26">
        <f t="shared" si="14"/>
        <v>99199.069376881889</v>
      </c>
      <c r="J177" s="27">
        <f t="shared" si="17"/>
        <v>-6.7545192598075067E-3</v>
      </c>
      <c r="P177" s="25">
        <f t="shared" si="15"/>
        <v>99199.069376881889</v>
      </c>
      <c r="Q177" s="32">
        <v>1249.46</v>
      </c>
      <c r="R177" s="34">
        <f t="shared" si="16"/>
        <v>3.9800000000000058E-2</v>
      </c>
      <c r="T177" s="38">
        <f t="shared" si="18"/>
        <v>-6.8786818458005383E-3</v>
      </c>
      <c r="U177" s="27">
        <f t="shared" si="19"/>
        <v>-3.0119324540428538E-3</v>
      </c>
      <c r="W177" s="62">
        <v>62.72</v>
      </c>
      <c r="X177" s="63">
        <f t="shared" si="20"/>
        <v>-1.2359529856493615E-2</v>
      </c>
    </row>
    <row r="178" spans="3:24" x14ac:dyDescent="0.3">
      <c r="C178" s="16">
        <v>37012</v>
      </c>
      <c r="D178" s="11">
        <v>47080</v>
      </c>
      <c r="E178" s="11">
        <v>54033</v>
      </c>
      <c r="F178" s="12">
        <v>3.8354953876463906E-2</v>
      </c>
      <c r="H178" s="26">
        <v>98998.021445594946</v>
      </c>
      <c r="I178" s="26">
        <f t="shared" si="14"/>
        <v>98998.021445450926</v>
      </c>
      <c r="J178" s="27">
        <f t="shared" si="17"/>
        <v>-2.0287684299633534E-3</v>
      </c>
      <c r="P178" s="25">
        <f t="shared" si="15"/>
        <v>98998.021445450926</v>
      </c>
      <c r="Q178" s="32">
        <v>1266.44</v>
      </c>
      <c r="R178" s="34">
        <f t="shared" si="16"/>
        <v>3.9099999999999913E-2</v>
      </c>
      <c r="T178" s="38">
        <f t="shared" si="18"/>
        <v>-2.1797887933983073E-3</v>
      </c>
      <c r="U178" s="27">
        <f t="shared" si="19"/>
        <v>1.3436793901119293E-2</v>
      </c>
      <c r="W178" s="62">
        <v>62.41</v>
      </c>
      <c r="X178" s="63">
        <f t="shared" si="20"/>
        <v>-4.9548570962007739E-3</v>
      </c>
    </row>
    <row r="179" spans="3:24" x14ac:dyDescent="0.3">
      <c r="C179" s="16">
        <v>37013</v>
      </c>
      <c r="D179" s="11">
        <v>45639.19</v>
      </c>
      <c r="E179" s="11">
        <v>54033</v>
      </c>
      <c r="F179" s="12">
        <v>3.8739828315930647E-2</v>
      </c>
      <c r="H179" s="26">
        <v>97524.879895876438</v>
      </c>
      <c r="I179" s="26">
        <f t="shared" si="14"/>
        <v>97524.879895715872</v>
      </c>
      <c r="J179" s="27">
        <f t="shared" si="17"/>
        <v>-1.499234066627653E-2</v>
      </c>
      <c r="P179" s="25">
        <f t="shared" si="15"/>
        <v>97524.879895715872</v>
      </c>
      <c r="Q179" s="32">
        <v>1267.43</v>
      </c>
      <c r="R179" s="34">
        <f t="shared" si="16"/>
        <v>3.9500000000000091E-2</v>
      </c>
      <c r="T179" s="38">
        <f t="shared" si="18"/>
        <v>-1.5030899682514143E-2</v>
      </c>
      <c r="U179" s="27">
        <f t="shared" si="19"/>
        <v>6.313342185120252E-4</v>
      </c>
      <c r="W179" s="62">
        <v>60.5</v>
      </c>
      <c r="X179" s="63">
        <f t="shared" si="20"/>
        <v>-3.1082153909155735E-2</v>
      </c>
    </row>
    <row r="180" spans="3:24" x14ac:dyDescent="0.3">
      <c r="C180" s="16">
        <v>37014</v>
      </c>
      <c r="D180" s="11">
        <v>44017.29</v>
      </c>
      <c r="E180" s="11">
        <v>54033</v>
      </c>
      <c r="F180" s="12">
        <v>3.8162461094348857E-2</v>
      </c>
      <c r="H180" s="26">
        <v>95916.280567932685</v>
      </c>
      <c r="I180" s="26">
        <f t="shared" si="14"/>
        <v>95916.280567750568</v>
      </c>
      <c r="J180" s="27">
        <f t="shared" si="17"/>
        <v>-1.6631790300836266E-2</v>
      </c>
      <c r="P180" s="25">
        <f t="shared" si="15"/>
        <v>95916.280567750568</v>
      </c>
      <c r="Q180" s="32">
        <v>1248.58</v>
      </c>
      <c r="R180" s="34">
        <f t="shared" si="16"/>
        <v>3.8899999999999935E-2</v>
      </c>
      <c r="T180" s="38">
        <f t="shared" si="18"/>
        <v>-1.6646168747211476E-2</v>
      </c>
      <c r="U180" s="27">
        <f t="shared" si="19"/>
        <v>-1.5024539316084384E-2</v>
      </c>
      <c r="W180" s="62">
        <v>58.35</v>
      </c>
      <c r="X180" s="63">
        <f t="shared" si="20"/>
        <v>-3.6184006304230708E-2</v>
      </c>
    </row>
    <row r="181" spans="3:24" x14ac:dyDescent="0.3">
      <c r="C181" s="16">
        <v>37015</v>
      </c>
      <c r="D181" s="11">
        <v>44869.71</v>
      </c>
      <c r="E181" s="11">
        <v>54033</v>
      </c>
      <c r="F181" s="12">
        <v>3.8258712117090268E-2</v>
      </c>
      <c r="H181" s="26">
        <v>96772.705406165929</v>
      </c>
      <c r="I181" s="26">
        <f t="shared" si="14"/>
        <v>96772.705405995308</v>
      </c>
      <c r="J181" s="27">
        <f t="shared" si="17"/>
        <v>8.8892520075116895E-3</v>
      </c>
      <c r="P181" s="25">
        <f t="shared" si="15"/>
        <v>96772.705405995308</v>
      </c>
      <c r="Q181" s="32">
        <v>1266.6099999999999</v>
      </c>
      <c r="R181" s="34">
        <f t="shared" si="16"/>
        <v>3.8999999999999924E-2</v>
      </c>
      <c r="T181" s="38">
        <f t="shared" si="18"/>
        <v>8.7792633539611753E-3</v>
      </c>
      <c r="U181" s="27">
        <f t="shared" si="19"/>
        <v>1.4290788914668617E-2</v>
      </c>
      <c r="W181" s="62">
        <v>59.48</v>
      </c>
      <c r="X181" s="63">
        <f t="shared" si="20"/>
        <v>1.9180762859389251E-2</v>
      </c>
    </row>
    <row r="182" spans="3:24" x14ac:dyDescent="0.3">
      <c r="C182" s="16">
        <v>37018</v>
      </c>
      <c r="D182" s="11">
        <v>43783.41</v>
      </c>
      <c r="E182" s="11">
        <v>54033</v>
      </c>
      <c r="F182" s="12">
        <v>3.6621183455645412E-2</v>
      </c>
      <c r="H182" s="26">
        <v>95759.09658120836</v>
      </c>
      <c r="I182" s="26">
        <f t="shared" si="14"/>
        <v>95759.09658102176</v>
      </c>
      <c r="J182" s="27">
        <f t="shared" si="17"/>
        <v>-1.0529358569939543E-2</v>
      </c>
      <c r="P182" s="25">
        <f t="shared" si="15"/>
        <v>95759.09658102176</v>
      </c>
      <c r="Q182" s="32">
        <v>1263.51</v>
      </c>
      <c r="R182" s="34">
        <f t="shared" si="16"/>
        <v>3.7300000000000111E-2</v>
      </c>
      <c r="T182" s="38">
        <f t="shared" si="18"/>
        <v>-1.0624118923524106E-2</v>
      </c>
      <c r="U182" s="27">
        <f t="shared" si="19"/>
        <v>-2.5974779134856352E-3</v>
      </c>
      <c r="W182" s="62">
        <v>58.04</v>
      </c>
      <c r="X182" s="63">
        <f t="shared" si="20"/>
        <v>-2.4507693575967139E-2</v>
      </c>
    </row>
    <row r="183" spans="3:24" x14ac:dyDescent="0.3">
      <c r="C183" s="16">
        <v>37019</v>
      </c>
      <c r="D183" s="11">
        <v>42327.51</v>
      </c>
      <c r="E183" s="11">
        <v>54033</v>
      </c>
      <c r="F183" s="12">
        <v>3.6331929247390204E-2</v>
      </c>
      <c r="H183" s="26">
        <v>94300.392381850412</v>
      </c>
      <c r="I183" s="26">
        <f t="shared" si="14"/>
        <v>94300.392381641999</v>
      </c>
      <c r="J183" s="27">
        <f t="shared" si="17"/>
        <v>-1.535027638132045E-2</v>
      </c>
      <c r="P183" s="25">
        <f t="shared" si="15"/>
        <v>94300.392381641999</v>
      </c>
      <c r="Q183" s="32">
        <v>1261.2</v>
      </c>
      <c r="R183" s="34">
        <f t="shared" si="16"/>
        <v>3.6999999999999922E-2</v>
      </c>
      <c r="T183" s="38">
        <f t="shared" si="18"/>
        <v>-1.5376522954674288E-2</v>
      </c>
      <c r="U183" s="27">
        <f t="shared" si="19"/>
        <v>-1.9717019164560146E-3</v>
      </c>
      <c r="W183" s="62">
        <v>56.11</v>
      </c>
      <c r="X183" s="63">
        <f t="shared" si="20"/>
        <v>-3.3818378253106435E-2</v>
      </c>
    </row>
    <row r="184" spans="3:24" x14ac:dyDescent="0.3">
      <c r="C184" s="16">
        <v>37020</v>
      </c>
      <c r="D184" s="11">
        <v>44658.48</v>
      </c>
      <c r="E184" s="11">
        <v>54033</v>
      </c>
      <c r="F184" s="12">
        <v>3.6235492582095359E-2</v>
      </c>
      <c r="H184" s="26">
        <v>96663.505779991712</v>
      </c>
      <c r="I184" s="26">
        <f t="shared" si="14"/>
        <v>96663.505779816784</v>
      </c>
      <c r="J184" s="27">
        <f t="shared" si="17"/>
        <v>2.4750584324132442E-2</v>
      </c>
      <c r="P184" s="25">
        <f t="shared" si="15"/>
        <v>96663.505779816784</v>
      </c>
      <c r="Q184" s="32">
        <v>1255.54</v>
      </c>
      <c r="R184" s="34">
        <f t="shared" si="16"/>
        <v>3.6899999999999933E-2</v>
      </c>
      <c r="T184" s="38">
        <f t="shared" si="18"/>
        <v>2.4917115057611072E-2</v>
      </c>
      <c r="U184" s="27">
        <f t="shared" si="19"/>
        <v>-4.6300970992217971E-3</v>
      </c>
      <c r="W184" s="62">
        <v>59.2</v>
      </c>
      <c r="X184" s="63">
        <f t="shared" si="20"/>
        <v>5.3607492127079458E-2</v>
      </c>
    </row>
    <row r="185" spans="3:24" x14ac:dyDescent="0.3">
      <c r="C185" s="16">
        <v>37021</v>
      </c>
      <c r="D185" s="11">
        <v>43451.51</v>
      </c>
      <c r="E185" s="11">
        <v>54033</v>
      </c>
      <c r="F185" s="12">
        <v>3.7103087951502259E-2</v>
      </c>
      <c r="H185" s="26">
        <v>95398.592240925136</v>
      </c>
      <c r="I185" s="26">
        <f t="shared" si="14"/>
        <v>95398.5922407342</v>
      </c>
      <c r="J185" s="27">
        <f t="shared" si="17"/>
        <v>-1.3172112989187999E-2</v>
      </c>
      <c r="P185" s="25">
        <f t="shared" si="15"/>
        <v>95398.5922407342</v>
      </c>
      <c r="Q185" s="32">
        <v>1255.18</v>
      </c>
      <c r="R185" s="34">
        <f t="shared" si="16"/>
        <v>3.7800000000000056E-2</v>
      </c>
      <c r="T185" s="38">
        <f t="shared" si="18"/>
        <v>-1.3227663438583948E-2</v>
      </c>
      <c r="U185" s="27">
        <f t="shared" si="19"/>
        <v>-4.2865229303712393E-4</v>
      </c>
      <c r="W185" s="62">
        <v>57.6</v>
      </c>
      <c r="X185" s="63">
        <f t="shared" si="20"/>
        <v>-2.7398974188114503E-2</v>
      </c>
    </row>
    <row r="186" spans="3:24" x14ac:dyDescent="0.3">
      <c r="C186" s="16">
        <v>37022</v>
      </c>
      <c r="D186" s="11">
        <v>43904.12</v>
      </c>
      <c r="E186" s="11">
        <v>54033</v>
      </c>
      <c r="F186" s="12">
        <v>3.6910354020097152E-2</v>
      </c>
      <c r="H186" s="26">
        <v>95866.274617843621</v>
      </c>
      <c r="I186" s="26">
        <f t="shared" si="14"/>
        <v>95866.274617658972</v>
      </c>
      <c r="J186" s="27">
        <f t="shared" si="17"/>
        <v>4.8904256876898455E-3</v>
      </c>
      <c r="P186" s="25">
        <f t="shared" si="15"/>
        <v>95866.274617658972</v>
      </c>
      <c r="Q186" s="32">
        <v>1245.67</v>
      </c>
      <c r="R186" s="34">
        <f t="shared" si="16"/>
        <v>3.7600000000000078E-2</v>
      </c>
      <c r="T186" s="38">
        <f t="shared" si="18"/>
        <v>4.7570187213918924E-3</v>
      </c>
      <c r="U186" s="27">
        <f t="shared" si="19"/>
        <v>-7.7219871743802182E-3</v>
      </c>
      <c r="W186" s="62">
        <v>58.2</v>
      </c>
      <c r="X186" s="63">
        <f t="shared" si="20"/>
        <v>1.0362787035546658E-2</v>
      </c>
    </row>
    <row r="187" spans="3:24" x14ac:dyDescent="0.3">
      <c r="C187" s="16">
        <v>37025</v>
      </c>
      <c r="D187" s="11">
        <v>44319.05</v>
      </c>
      <c r="E187" s="11">
        <v>54033</v>
      </c>
      <c r="F187" s="12">
        <v>3.7199440989106304E-2</v>
      </c>
      <c r="H187" s="26">
        <v>96270.850087645769</v>
      </c>
      <c r="I187" s="26">
        <f t="shared" si="14"/>
        <v>96270.850087467028</v>
      </c>
      <c r="J187" s="27">
        <f t="shared" si="17"/>
        <v>4.2113263468476969E-3</v>
      </c>
      <c r="P187" s="25">
        <f t="shared" si="15"/>
        <v>96270.850087467028</v>
      </c>
      <c r="Q187" s="32">
        <v>1248.92</v>
      </c>
      <c r="R187" s="34">
        <f t="shared" si="16"/>
        <v>3.7900000000000045E-2</v>
      </c>
      <c r="T187" s="38">
        <f t="shared" si="18"/>
        <v>4.0755910583867294E-3</v>
      </c>
      <c r="U187" s="27">
        <f t="shared" si="19"/>
        <v>2.4644223220002814E-3</v>
      </c>
      <c r="W187" s="62">
        <v>58.75</v>
      </c>
      <c r="X187" s="63">
        <f t="shared" si="20"/>
        <v>9.4057982868761703E-3</v>
      </c>
    </row>
    <row r="188" spans="3:24" x14ac:dyDescent="0.3">
      <c r="C188" s="16">
        <v>37026</v>
      </c>
      <c r="D188" s="11">
        <v>42991.33</v>
      </c>
      <c r="E188" s="11">
        <v>55533</v>
      </c>
      <c r="F188" s="12">
        <v>3.6813973122716399E-2</v>
      </c>
      <c r="H188" s="26">
        <v>96374.728111864373</v>
      </c>
      <c r="I188" s="26">
        <f t="shared" si="14"/>
        <v>96374.728111642515</v>
      </c>
      <c r="J188" s="27">
        <f t="shared" si="17"/>
        <v>1.0784367360744946E-3</v>
      </c>
      <c r="P188" s="25">
        <f t="shared" si="15"/>
        <v>96374.728111642515</v>
      </c>
      <c r="Q188" s="32">
        <v>1249.44</v>
      </c>
      <c r="R188" s="34">
        <f t="shared" si="16"/>
        <v>3.7500000000000089E-2</v>
      </c>
      <c r="T188" s="38">
        <f t="shared" si="18"/>
        <v>9.3324922685433798E-4</v>
      </c>
      <c r="U188" s="27">
        <f t="shared" si="19"/>
        <v>2.7059050404165674E-4</v>
      </c>
      <c r="W188" s="62">
        <v>56.99</v>
      </c>
      <c r="X188" s="63">
        <f t="shared" si="20"/>
        <v>-3.0415339177360157E-2</v>
      </c>
    </row>
    <row r="189" spans="3:24" x14ac:dyDescent="0.3">
      <c r="C189" s="16">
        <v>37027</v>
      </c>
      <c r="D189" s="11">
        <v>41497.71</v>
      </c>
      <c r="E189" s="11">
        <v>55533</v>
      </c>
      <c r="F189" s="12">
        <v>3.6524774682372169E-2</v>
      </c>
      <c r="H189" s="26">
        <v>94874.380064464218</v>
      </c>
      <c r="I189" s="26">
        <f t="shared" si="14"/>
        <v>94874.380064216763</v>
      </c>
      <c r="J189" s="27">
        <f t="shared" si="17"/>
        <v>-1.5690309271994416E-2</v>
      </c>
      <c r="P189" s="25">
        <f t="shared" si="15"/>
        <v>94874.380064216763</v>
      </c>
      <c r="Q189" s="32">
        <v>1284.99</v>
      </c>
      <c r="R189" s="34">
        <f t="shared" si="16"/>
        <v>3.71999999999999E-2</v>
      </c>
      <c r="T189" s="38">
        <f t="shared" si="18"/>
        <v>-1.5712088410164582E-2</v>
      </c>
      <c r="U189" s="27">
        <f t="shared" si="19"/>
        <v>2.8308516061349209E-2</v>
      </c>
      <c r="W189" s="62">
        <v>55.01</v>
      </c>
      <c r="X189" s="63">
        <f t="shared" si="20"/>
        <v>-3.5360826959541521E-2</v>
      </c>
    </row>
    <row r="190" spans="3:24" x14ac:dyDescent="0.3">
      <c r="C190" s="16">
        <v>37028</v>
      </c>
      <c r="D190" s="11">
        <v>39377.949999999997</v>
      </c>
      <c r="E190" s="11">
        <v>55533</v>
      </c>
      <c r="F190" s="12">
        <v>3.6813973122716399E-2</v>
      </c>
      <c r="H190" s="26">
        <v>92702.242084076104</v>
      </c>
      <c r="I190" s="26">
        <f t="shared" si="14"/>
        <v>92702.242083788427</v>
      </c>
      <c r="J190" s="27">
        <f t="shared" si="17"/>
        <v>-2.3161042728489647E-2</v>
      </c>
      <c r="P190" s="25">
        <f t="shared" si="15"/>
        <v>92702.242083788427</v>
      </c>
      <c r="Q190" s="32">
        <v>1288.49</v>
      </c>
      <c r="R190" s="34">
        <f t="shared" si="16"/>
        <v>3.7500000000000089E-2</v>
      </c>
      <c r="T190" s="38">
        <f t="shared" si="18"/>
        <v>-2.3037961495267156E-2</v>
      </c>
      <c r="U190" s="27">
        <f t="shared" si="19"/>
        <v>2.5806796820326827E-3</v>
      </c>
      <c r="W190" s="62">
        <v>52.2</v>
      </c>
      <c r="X190" s="63">
        <f t="shared" si="20"/>
        <v>-5.2432491998773548E-2</v>
      </c>
    </row>
    <row r="191" spans="3:24" x14ac:dyDescent="0.3">
      <c r="C191" s="16">
        <v>37029</v>
      </c>
      <c r="D191" s="11">
        <v>40961.160000000003</v>
      </c>
      <c r="E191" s="11">
        <v>55533</v>
      </c>
      <c r="F191" s="12">
        <v>3.6910354020097152E-2</v>
      </c>
      <c r="H191" s="26">
        <v>94308.813230802567</v>
      </c>
      <c r="I191" s="26">
        <f t="shared" si="14"/>
        <v>94308.81323054574</v>
      </c>
      <c r="J191" s="27">
        <f t="shared" si="17"/>
        <v>1.7181986040781912E-2</v>
      </c>
      <c r="P191" s="25">
        <f t="shared" si="15"/>
        <v>94308.81323054574</v>
      </c>
      <c r="Q191" s="32">
        <v>1291.96</v>
      </c>
      <c r="R191" s="34">
        <f t="shared" si="16"/>
        <v>3.7600000000000078E-2</v>
      </c>
      <c r="T191" s="38">
        <f t="shared" si="18"/>
        <v>1.7186214650904974E-2</v>
      </c>
      <c r="U191" s="27">
        <f t="shared" si="19"/>
        <v>2.5488440703100856E-3</v>
      </c>
      <c r="W191" s="62">
        <v>54.9</v>
      </c>
      <c r="X191" s="63">
        <f t="shared" si="20"/>
        <v>5.0430853626891904E-2</v>
      </c>
    </row>
    <row r="192" spans="3:24" x14ac:dyDescent="0.3">
      <c r="C192" s="16">
        <v>37032</v>
      </c>
      <c r="D192" s="11">
        <v>41028.300000000003</v>
      </c>
      <c r="E192" s="11">
        <v>55533</v>
      </c>
      <c r="F192" s="12">
        <v>3.7584760327271212E-2</v>
      </c>
      <c r="H192" s="26">
        <v>94341.555275781022</v>
      </c>
      <c r="I192" s="26">
        <f t="shared" si="14"/>
        <v>94341.555275526116</v>
      </c>
      <c r="J192" s="27">
        <f t="shared" si="17"/>
        <v>3.4711880571879717E-4</v>
      </c>
      <c r="P192" s="25">
        <f t="shared" si="15"/>
        <v>94341.555275526116</v>
      </c>
      <c r="Q192" s="32">
        <v>1312.83</v>
      </c>
      <c r="R192" s="34">
        <f t="shared" si="16"/>
        <v>3.8300000000000001E-2</v>
      </c>
      <c r="T192" s="38">
        <f t="shared" si="18"/>
        <v>2.0256367382875951E-4</v>
      </c>
      <c r="U192" s="27">
        <f t="shared" si="19"/>
        <v>1.6009135505504979E-2</v>
      </c>
      <c r="W192" s="62">
        <v>54.99</v>
      </c>
      <c r="X192" s="63">
        <f t="shared" si="20"/>
        <v>1.6380020042383698E-3</v>
      </c>
    </row>
    <row r="193" spans="3:24" x14ac:dyDescent="0.3">
      <c r="C193" s="16">
        <v>37033</v>
      </c>
      <c r="D193" s="11">
        <v>40998.46</v>
      </c>
      <c r="E193" s="11">
        <v>55533</v>
      </c>
      <c r="F193" s="12">
        <v>3.7199440989106304E-2</v>
      </c>
      <c r="H193" s="26">
        <v>94331.508245325778</v>
      </c>
      <c r="I193" s="26">
        <f t="shared" si="14"/>
        <v>94331.508245069941</v>
      </c>
      <c r="J193" s="27">
        <f t="shared" si="17"/>
        <v>-1.0650201228765522E-4</v>
      </c>
      <c r="P193" s="25">
        <f t="shared" si="15"/>
        <v>94331.508245069941</v>
      </c>
      <c r="Q193" s="32">
        <v>1309.3800000000001</v>
      </c>
      <c r="R193" s="34">
        <f t="shared" si="16"/>
        <v>3.7900000000000045E-2</v>
      </c>
      <c r="T193" s="38">
        <f t="shared" si="18"/>
        <v>-2.5380403346764169E-4</v>
      </c>
      <c r="U193" s="27">
        <f t="shared" si="19"/>
        <v>-2.7752183890467075E-3</v>
      </c>
      <c r="W193" s="62">
        <v>54.95</v>
      </c>
      <c r="X193" s="63">
        <f t="shared" si="20"/>
        <v>-7.2766967009300378E-4</v>
      </c>
    </row>
    <row r="194" spans="3:24" x14ac:dyDescent="0.3">
      <c r="C194" s="16">
        <v>37034</v>
      </c>
      <c r="D194" s="11">
        <v>41296.9</v>
      </c>
      <c r="E194" s="11">
        <v>55533</v>
      </c>
      <c r="F194" s="12">
        <v>3.6813973122716399E-2</v>
      </c>
      <c r="H194" s="26">
        <v>94655.123330543662</v>
      </c>
      <c r="I194" s="26">
        <f t="shared" si="14"/>
        <v>94655.123330292859</v>
      </c>
      <c r="J194" s="27">
        <f t="shared" si="17"/>
        <v>3.424743843759106E-3</v>
      </c>
      <c r="P194" s="25">
        <f t="shared" si="15"/>
        <v>94655.123330292859</v>
      </c>
      <c r="Q194" s="32">
        <v>1289.05</v>
      </c>
      <c r="R194" s="34">
        <f t="shared" si="16"/>
        <v>3.7500000000000089E-2</v>
      </c>
      <c r="T194" s="38">
        <f t="shared" si="18"/>
        <v>3.2848457487155702E-3</v>
      </c>
      <c r="U194" s="27">
        <f t="shared" si="19"/>
        <v>-1.5672201588068146E-2</v>
      </c>
      <c r="W194" s="62">
        <v>55.35</v>
      </c>
      <c r="X194" s="63">
        <f t="shared" si="20"/>
        <v>7.2529783050155772E-3</v>
      </c>
    </row>
    <row r="195" spans="3:24" x14ac:dyDescent="0.3">
      <c r="C195" s="16">
        <v>37035</v>
      </c>
      <c r="D195" s="11">
        <v>40409.03</v>
      </c>
      <c r="E195" s="11">
        <v>55533</v>
      </c>
      <c r="F195" s="12">
        <v>3.7199440989106304E-2</v>
      </c>
      <c r="H195" s="26">
        <v>93732.044818307841</v>
      </c>
      <c r="I195" s="26">
        <f t="shared" si="14"/>
        <v>93732.044818040958</v>
      </c>
      <c r="J195" s="27">
        <f t="shared" si="17"/>
        <v>-9.7998808392300314E-3</v>
      </c>
      <c r="P195" s="25">
        <f t="shared" si="15"/>
        <v>93732.044818040958</v>
      </c>
      <c r="Q195" s="32">
        <v>1293.17</v>
      </c>
      <c r="R195" s="34">
        <f t="shared" si="16"/>
        <v>3.7900000000000045E-2</v>
      </c>
      <c r="T195" s="38">
        <f t="shared" si="18"/>
        <v>-9.8962492524868884E-3</v>
      </c>
      <c r="U195" s="27">
        <f t="shared" si="19"/>
        <v>3.0519214358817326E-3</v>
      </c>
      <c r="W195" s="62">
        <v>54.16</v>
      </c>
      <c r="X195" s="63">
        <f t="shared" si="20"/>
        <v>-2.1734030550626442E-2</v>
      </c>
    </row>
    <row r="196" spans="3:24" x14ac:dyDescent="0.3">
      <c r="C196" s="16">
        <v>37036</v>
      </c>
      <c r="D196" s="11">
        <v>39543.56</v>
      </c>
      <c r="E196" s="11">
        <v>55533</v>
      </c>
      <c r="F196" s="12">
        <v>3.7103087951502259E-2</v>
      </c>
      <c r="H196" s="26">
        <v>92855.835850611067</v>
      </c>
      <c r="I196" s="26">
        <f t="shared" si="14"/>
        <v>92855.835850327072</v>
      </c>
      <c r="J196" s="27">
        <f t="shared" si="17"/>
        <v>-9.391986289450472E-3</v>
      </c>
      <c r="P196" s="25">
        <f t="shared" si="15"/>
        <v>92855.835850327072</v>
      </c>
      <c r="Q196" s="32">
        <v>1277.9000000000001</v>
      </c>
      <c r="R196" s="34">
        <f t="shared" si="16"/>
        <v>3.7800000000000056E-2</v>
      </c>
      <c r="T196" s="38">
        <f t="shared" si="18"/>
        <v>-9.4937885705247416E-3</v>
      </c>
      <c r="U196" s="27">
        <f t="shared" si="19"/>
        <v>-1.195396150247352E-2</v>
      </c>
      <c r="W196" s="62">
        <v>53</v>
      </c>
      <c r="X196" s="63">
        <f t="shared" si="20"/>
        <v>-2.1650715051897661E-2</v>
      </c>
    </row>
    <row r="197" spans="3:24" x14ac:dyDescent="0.3">
      <c r="C197" s="16">
        <v>37039</v>
      </c>
      <c r="D197" s="11">
        <v>39543.56</v>
      </c>
      <c r="E197" s="11">
        <v>55533</v>
      </c>
      <c r="F197" s="12">
        <v>3.7006725629095738E-2</v>
      </c>
      <c r="H197" s="26">
        <v>92860.900833323016</v>
      </c>
      <c r="I197" s="26">
        <f t="shared" ref="I197:I260" si="21">(D197+E197*EXP(-F197*1)*NORMSDIST(Bsd(H197,E197,1,F197,N$4)-N$4))/NORMSDIST(Bsd(H197,E197,1,F197,N$4))</f>
        <v>92860.90083303889</v>
      </c>
      <c r="J197" s="27">
        <f t="shared" si="17"/>
        <v>5.4545247818289151E-5</v>
      </c>
      <c r="P197" s="25">
        <f t="shared" si="15"/>
        <v>92860.90083303889</v>
      </c>
      <c r="Q197" s="32">
        <v>1277.9000000000001</v>
      </c>
      <c r="R197" s="34">
        <f t="shared" si="16"/>
        <v>3.7700000000000067E-2</v>
      </c>
      <c r="T197" s="38">
        <f t="shared" si="18"/>
        <v>-9.0837879948679756E-5</v>
      </c>
      <c r="U197" s="27">
        <f t="shared" si="19"/>
        <v>-1.4538461538471381E-4</v>
      </c>
      <c r="W197" s="62">
        <v>53</v>
      </c>
      <c r="X197" s="63">
        <f t="shared" si="20"/>
        <v>0</v>
      </c>
    </row>
    <row r="198" spans="3:24" x14ac:dyDescent="0.3">
      <c r="C198" s="16">
        <v>37040</v>
      </c>
      <c r="D198" s="11">
        <v>39580.86</v>
      </c>
      <c r="E198" s="11">
        <v>55533</v>
      </c>
      <c r="F198" s="12">
        <v>3.6910354020097152E-2</v>
      </c>
      <c r="H198" s="26">
        <v>92903.976113144512</v>
      </c>
      <c r="I198" s="26">
        <f t="shared" si="21"/>
        <v>92903.976112861041</v>
      </c>
      <c r="J198" s="27">
        <f t="shared" si="17"/>
        <v>4.637613019381008E-4</v>
      </c>
      <c r="P198" s="25">
        <f t="shared" ref="P198:P261" si="22">+I198</f>
        <v>92903.976112861041</v>
      </c>
      <c r="Q198" s="32">
        <v>1267.94</v>
      </c>
      <c r="R198" s="34">
        <f t="shared" ref="R198:R261" si="23">+EXP(F198)-1</f>
        <v>3.7600000000000078E-2</v>
      </c>
      <c r="T198" s="38">
        <f t="shared" si="18"/>
        <v>3.1886885584486713E-4</v>
      </c>
      <c r="U198" s="27">
        <f t="shared" si="19"/>
        <v>-7.9390370921043063E-3</v>
      </c>
      <c r="W198" s="62">
        <v>53.05</v>
      </c>
      <c r="X198" s="63">
        <f t="shared" si="20"/>
        <v>9.4295150787036277E-4</v>
      </c>
    </row>
    <row r="199" spans="3:24" x14ac:dyDescent="0.3">
      <c r="C199" s="16">
        <v>37041</v>
      </c>
      <c r="D199" s="11">
        <v>39715.160000000003</v>
      </c>
      <c r="E199" s="11">
        <v>55533</v>
      </c>
      <c r="F199" s="12">
        <v>3.6813973122716399E-2</v>
      </c>
      <c r="H199" s="26">
        <v>93045.877232596598</v>
      </c>
      <c r="I199" s="26">
        <f t="shared" si="21"/>
        <v>93045.877232315732</v>
      </c>
      <c r="J199" s="27">
        <f t="shared" ref="J199:J262" si="24">LN(H199/H198)</f>
        <v>1.5262302652464855E-3</v>
      </c>
      <c r="P199" s="25">
        <f t="shared" si="22"/>
        <v>93045.877232315732</v>
      </c>
      <c r="Q199" s="32">
        <v>1248.08</v>
      </c>
      <c r="R199" s="34">
        <f t="shared" si="23"/>
        <v>3.7500000000000089E-2</v>
      </c>
      <c r="T199" s="38">
        <f t="shared" ref="T199:T262" si="25">+P199/P198-(1+$R198/260)</f>
        <v>1.3827801628292224E-3</v>
      </c>
      <c r="U199" s="27">
        <f t="shared" ref="U199:U262" si="26">+Q199/Q198-(1+$R198/260)</f>
        <v>-1.5807817113403955E-2</v>
      </c>
      <c r="W199" s="62">
        <v>53.23</v>
      </c>
      <c r="X199" s="63">
        <f t="shared" ref="X199:X262" si="27">+LN(W199/W198)</f>
        <v>3.3872821246738452E-3</v>
      </c>
    </row>
    <row r="200" spans="3:24" x14ac:dyDescent="0.3">
      <c r="C200" s="16">
        <v>37042</v>
      </c>
      <c r="D200" s="11">
        <v>39476.400000000001</v>
      </c>
      <c r="E200" s="11">
        <v>55533</v>
      </c>
      <c r="F200" s="12">
        <v>3.7103087951502259E-2</v>
      </c>
      <c r="H200" s="26">
        <v>92787.39314754543</v>
      </c>
      <c r="I200" s="26">
        <f t="shared" si="21"/>
        <v>92787.393147260053</v>
      </c>
      <c r="J200" s="27">
        <f t="shared" si="24"/>
        <v>-2.7818942347804078E-3</v>
      </c>
      <c r="P200" s="25">
        <f t="shared" si="22"/>
        <v>92787.393147260053</v>
      </c>
      <c r="Q200" s="32">
        <v>1255.83</v>
      </c>
      <c r="R200" s="34">
        <f t="shared" si="23"/>
        <v>3.7800000000000056E-2</v>
      </c>
      <c r="T200" s="38">
        <f t="shared" si="25"/>
        <v>-2.9222591219572047E-3</v>
      </c>
      <c r="U200" s="27">
        <f t="shared" si="26"/>
        <v>6.0653070809071341E-3</v>
      </c>
      <c r="W200" s="62">
        <v>52.91</v>
      </c>
      <c r="X200" s="63">
        <f t="shared" si="27"/>
        <v>-6.0297902686256158E-3</v>
      </c>
    </row>
    <row r="201" spans="3:24" x14ac:dyDescent="0.3">
      <c r="C201" s="16">
        <v>37043</v>
      </c>
      <c r="D201" s="11">
        <v>39573.4</v>
      </c>
      <c r="E201" s="11">
        <v>55533</v>
      </c>
      <c r="F201" s="12">
        <v>3.6331929247390204E-2</v>
      </c>
      <c r="H201" s="26">
        <v>92926.791250547976</v>
      </c>
      <c r="I201" s="26">
        <f t="shared" si="21"/>
        <v>92926.791250263748</v>
      </c>
      <c r="J201" s="27">
        <f t="shared" si="24"/>
        <v>1.5012114409431974E-3</v>
      </c>
      <c r="P201" s="25">
        <f t="shared" si="22"/>
        <v>92926.791250263748</v>
      </c>
      <c r="Q201" s="32">
        <v>1260.67</v>
      </c>
      <c r="R201" s="34">
        <f t="shared" si="23"/>
        <v>3.6999999999999922E-2</v>
      </c>
      <c r="T201" s="38">
        <f t="shared" si="25"/>
        <v>1.3569542075464458E-3</v>
      </c>
      <c r="U201" s="27">
        <f t="shared" si="26"/>
        <v>3.708640212816583E-3</v>
      </c>
      <c r="W201" s="62">
        <v>53.04</v>
      </c>
      <c r="X201" s="63">
        <f t="shared" si="27"/>
        <v>2.453988961566787E-3</v>
      </c>
    </row>
    <row r="202" spans="3:24" x14ac:dyDescent="0.3">
      <c r="C202" s="16">
        <v>37046</v>
      </c>
      <c r="D202" s="11">
        <v>40692.559999999998</v>
      </c>
      <c r="E202" s="11">
        <v>55533</v>
      </c>
      <c r="F202" s="12">
        <v>3.6139046615873138E-2</v>
      </c>
      <c r="H202" s="26">
        <v>94076.313673977667</v>
      </c>
      <c r="I202" s="26">
        <f t="shared" si="21"/>
        <v>94076.313673715063</v>
      </c>
      <c r="J202" s="27">
        <f t="shared" si="24"/>
        <v>1.2294308193988081E-2</v>
      </c>
      <c r="P202" s="25">
        <f t="shared" si="22"/>
        <v>94076.313673715063</v>
      </c>
      <c r="Q202" s="32">
        <v>1267.1099999999999</v>
      </c>
      <c r="R202" s="34">
        <f t="shared" si="23"/>
        <v>3.6799999999999944E-2</v>
      </c>
      <c r="T202" s="38">
        <f t="shared" si="25"/>
        <v>1.2227886177353708E-2</v>
      </c>
      <c r="U202" s="27">
        <f t="shared" si="26"/>
        <v>4.9660870501704313E-3</v>
      </c>
      <c r="W202" s="62">
        <v>54.54</v>
      </c>
      <c r="X202" s="63">
        <f t="shared" si="27"/>
        <v>2.7888031539835302E-2</v>
      </c>
    </row>
    <row r="203" spans="3:24" x14ac:dyDescent="0.3">
      <c r="C203" s="16">
        <v>37047</v>
      </c>
      <c r="D203" s="11">
        <v>40103.14</v>
      </c>
      <c r="E203" s="11">
        <v>55533</v>
      </c>
      <c r="F203" s="12">
        <v>3.546366427556906E-2</v>
      </c>
      <c r="H203" s="26">
        <v>93512.08643421653</v>
      </c>
      <c r="I203" s="26">
        <f t="shared" si="21"/>
        <v>93512.086433941906</v>
      </c>
      <c r="J203" s="27">
        <f t="shared" si="24"/>
        <v>-6.015605878968178E-3</v>
      </c>
      <c r="P203" s="25">
        <f t="shared" si="22"/>
        <v>93512.086433941906</v>
      </c>
      <c r="Q203" s="32">
        <v>1283.57</v>
      </c>
      <c r="R203" s="34">
        <f t="shared" si="23"/>
        <v>3.6100000000000021E-2</v>
      </c>
      <c r="T203" s="38">
        <f t="shared" si="25"/>
        <v>-6.1390868107442653E-3</v>
      </c>
      <c r="U203" s="27">
        <f t="shared" si="26"/>
        <v>1.2848651813970546E-2</v>
      </c>
      <c r="W203" s="62">
        <v>53.75</v>
      </c>
      <c r="X203" s="63">
        <f t="shared" si="27"/>
        <v>-1.4590710409670271E-2</v>
      </c>
    </row>
    <row r="204" spans="3:24" x14ac:dyDescent="0.3">
      <c r="C204" s="16">
        <v>37048</v>
      </c>
      <c r="D204" s="11">
        <v>39043.660000000003</v>
      </c>
      <c r="E204" s="11">
        <v>55533</v>
      </c>
      <c r="F204" s="12">
        <v>3.5560175398550879E-2</v>
      </c>
      <c r="H204" s="26">
        <v>92427.283076745909</v>
      </c>
      <c r="I204" s="26">
        <f t="shared" si="21"/>
        <v>92427.283076449894</v>
      </c>
      <c r="J204" s="27">
        <f t="shared" si="24"/>
        <v>-1.1668488159563322E-2</v>
      </c>
      <c r="P204" s="25">
        <f t="shared" si="22"/>
        <v>92427.283076449894</v>
      </c>
      <c r="Q204" s="32">
        <v>1270.03</v>
      </c>
      <c r="R204" s="34">
        <f t="shared" si="23"/>
        <v>3.620000000000001E-2</v>
      </c>
      <c r="T204" s="38">
        <f t="shared" si="25"/>
        <v>-1.1739521519573581E-2</v>
      </c>
      <c r="U204" s="27">
        <f t="shared" si="26"/>
        <v>-1.0687550159081405E-2</v>
      </c>
      <c r="W204" s="62">
        <v>52.33</v>
      </c>
      <c r="X204" s="63">
        <f t="shared" si="27"/>
        <v>-2.6773846623655801E-2</v>
      </c>
    </row>
    <row r="205" spans="3:24" x14ac:dyDescent="0.3">
      <c r="C205" s="16">
        <v>37049</v>
      </c>
      <c r="D205" s="11">
        <v>37693.21</v>
      </c>
      <c r="E205" s="11">
        <v>55533</v>
      </c>
      <c r="F205" s="12">
        <v>3.5656677208034684E-2</v>
      </c>
      <c r="H205" s="26">
        <v>91042.793355807909</v>
      </c>
      <c r="I205" s="26">
        <f t="shared" si="21"/>
        <v>91042.793355482427</v>
      </c>
      <c r="J205" s="27">
        <f t="shared" si="24"/>
        <v>-1.5092553818903667E-2</v>
      </c>
      <c r="P205" s="25">
        <f t="shared" si="22"/>
        <v>91042.793355482427</v>
      </c>
      <c r="Q205" s="32">
        <v>1276.96</v>
      </c>
      <c r="R205" s="34">
        <f t="shared" si="23"/>
        <v>3.6299999999999999E-2</v>
      </c>
      <c r="T205" s="38">
        <f t="shared" si="25"/>
        <v>-1.5118462819385337E-2</v>
      </c>
      <c r="U205" s="27">
        <f t="shared" si="26"/>
        <v>5.3173332489422354E-3</v>
      </c>
      <c r="W205" s="62">
        <v>50.52</v>
      </c>
      <c r="X205" s="63">
        <f t="shared" si="27"/>
        <v>-3.5200522901826015E-2</v>
      </c>
    </row>
    <row r="206" spans="3:24" x14ac:dyDescent="0.3">
      <c r="C206" s="16">
        <v>37050</v>
      </c>
      <c r="D206" s="11">
        <v>38148.339999999997</v>
      </c>
      <c r="E206" s="11">
        <v>55533</v>
      </c>
      <c r="F206" s="12">
        <v>3.5753169705817843E-2</v>
      </c>
      <c r="H206" s="26">
        <v>91503.040037246144</v>
      </c>
      <c r="I206" s="26">
        <f t="shared" si="21"/>
        <v>91503.040036931023</v>
      </c>
      <c r="J206" s="27">
        <f t="shared" si="24"/>
        <v>5.0425435422632465E-3</v>
      </c>
      <c r="P206" s="25">
        <f t="shared" si="22"/>
        <v>91503.040036931023</v>
      </c>
      <c r="Q206" s="32">
        <v>1264.96</v>
      </c>
      <c r="R206" s="34">
        <f t="shared" si="23"/>
        <v>3.6399999999999988E-2</v>
      </c>
      <c r="T206" s="38">
        <f t="shared" si="25"/>
        <v>4.9156631770994608E-3</v>
      </c>
      <c r="U206" s="27">
        <f t="shared" si="26"/>
        <v>-9.5369340163657945E-3</v>
      </c>
      <c r="W206" s="62">
        <v>51.13</v>
      </c>
      <c r="X206" s="63">
        <f t="shared" si="27"/>
        <v>1.2002111609617425E-2</v>
      </c>
    </row>
    <row r="207" spans="3:24" x14ac:dyDescent="0.3">
      <c r="C207" s="16">
        <v>37053</v>
      </c>
      <c r="D207" s="11">
        <v>38051.35</v>
      </c>
      <c r="E207" s="11">
        <v>55533</v>
      </c>
      <c r="F207" s="12">
        <v>3.5753169705817843E-2</v>
      </c>
      <c r="H207" s="26">
        <v>91403.917633156874</v>
      </c>
      <c r="I207" s="26">
        <f t="shared" si="21"/>
        <v>91403.917632839599</v>
      </c>
      <c r="J207" s="27">
        <f t="shared" si="24"/>
        <v>-1.0838561316132004E-3</v>
      </c>
      <c r="P207" s="25">
        <f t="shared" si="22"/>
        <v>91403.917632839599</v>
      </c>
      <c r="Q207" s="32">
        <v>1254.3900000000001</v>
      </c>
      <c r="R207" s="34">
        <f t="shared" si="23"/>
        <v>3.6399999999999988E-2</v>
      </c>
      <c r="T207" s="38">
        <f t="shared" si="25"/>
        <v>-1.2232689717349698E-3</v>
      </c>
      <c r="U207" s="27">
        <f t="shared" si="26"/>
        <v>-8.4959954464962628E-3</v>
      </c>
      <c r="W207" s="62">
        <v>51</v>
      </c>
      <c r="X207" s="63">
        <f t="shared" si="27"/>
        <v>-2.5457763675822047E-3</v>
      </c>
    </row>
    <row r="208" spans="3:24" x14ac:dyDescent="0.3">
      <c r="C208" s="16">
        <v>37054</v>
      </c>
      <c r="D208" s="11">
        <v>37581.300000000003</v>
      </c>
      <c r="E208" s="11">
        <v>55533</v>
      </c>
      <c r="F208" s="12">
        <v>3.5560175398550879E-2</v>
      </c>
      <c r="H208" s="26">
        <v>90933.374481959065</v>
      </c>
      <c r="I208" s="26">
        <f t="shared" si="21"/>
        <v>90933.374481630904</v>
      </c>
      <c r="J208" s="27">
        <f t="shared" si="24"/>
        <v>-5.1612502334125948E-3</v>
      </c>
      <c r="P208" s="25">
        <f t="shared" si="22"/>
        <v>90933.374481630904</v>
      </c>
      <c r="Q208" s="32">
        <v>1255.8499999999999</v>
      </c>
      <c r="R208" s="34">
        <f t="shared" si="23"/>
        <v>3.620000000000001E-2</v>
      </c>
      <c r="T208" s="38">
        <f t="shared" si="25"/>
        <v>-5.2879538666911197E-3</v>
      </c>
      <c r="U208" s="27">
        <f t="shared" si="26"/>
        <v>1.0239123398623207E-3</v>
      </c>
      <c r="W208" s="62">
        <v>50.37</v>
      </c>
      <c r="X208" s="63">
        <f t="shared" si="27"/>
        <v>-1.2429872966766719E-2</v>
      </c>
    </row>
    <row r="209" spans="3:24" x14ac:dyDescent="0.3">
      <c r="C209" s="16">
        <v>37055</v>
      </c>
      <c r="D209" s="11">
        <v>37245.550000000003</v>
      </c>
      <c r="E209" s="11">
        <v>55533</v>
      </c>
      <c r="F209" s="12">
        <v>3.5367143837291344E-2</v>
      </c>
      <c r="H209" s="26">
        <v>90599.85910163699</v>
      </c>
      <c r="I209" s="26">
        <f t="shared" si="21"/>
        <v>90599.859101300768</v>
      </c>
      <c r="J209" s="27">
        <f t="shared" si="24"/>
        <v>-3.6744319371528364E-3</v>
      </c>
      <c r="P209" s="25">
        <f t="shared" si="22"/>
        <v>90599.859101300768</v>
      </c>
      <c r="Q209" s="32">
        <v>1241.5999999999999</v>
      </c>
      <c r="R209" s="34">
        <f t="shared" si="23"/>
        <v>3.6000000000000032E-2</v>
      </c>
      <c r="T209" s="38">
        <f t="shared" si="25"/>
        <v>-3.8069202422251758E-3</v>
      </c>
      <c r="U209" s="27">
        <f t="shared" si="26"/>
        <v>-1.1486127293497184E-2</v>
      </c>
      <c r="W209" s="62">
        <v>49.92</v>
      </c>
      <c r="X209" s="63">
        <f t="shared" si="27"/>
        <v>-8.9740356963868024E-3</v>
      </c>
    </row>
    <row r="210" spans="3:24" x14ac:dyDescent="0.3">
      <c r="C210" s="16">
        <v>37056</v>
      </c>
      <c r="D210" s="11">
        <v>35745.879999999997</v>
      </c>
      <c r="E210" s="11">
        <v>55533</v>
      </c>
      <c r="F210" s="12">
        <v>3.4980968895245594E-2</v>
      </c>
      <c r="H210" s="26">
        <v>89081.83644169358</v>
      </c>
      <c r="I210" s="26">
        <f t="shared" si="21"/>
        <v>89081.8364413198</v>
      </c>
      <c r="J210" s="27">
        <f t="shared" si="24"/>
        <v>-1.6897200056072207E-2</v>
      </c>
      <c r="P210" s="25">
        <f t="shared" si="22"/>
        <v>89081.8364413198</v>
      </c>
      <c r="Q210" s="32">
        <v>1219.8699999999999</v>
      </c>
      <c r="R210" s="34">
        <f t="shared" si="23"/>
        <v>3.5600000000000076E-2</v>
      </c>
      <c r="T210" s="38">
        <f t="shared" si="25"/>
        <v>-1.6893704593350378E-2</v>
      </c>
      <c r="U210" s="27">
        <f t="shared" si="26"/>
        <v>-1.7640072363203974E-2</v>
      </c>
      <c r="W210" s="62">
        <v>47.91</v>
      </c>
      <c r="X210" s="63">
        <f t="shared" si="27"/>
        <v>-4.109747316614152E-2</v>
      </c>
    </row>
    <row r="211" spans="3:24" x14ac:dyDescent="0.3">
      <c r="C211" s="16">
        <v>37057</v>
      </c>
      <c r="D211" s="11">
        <v>35260.910000000003</v>
      </c>
      <c r="E211" s="11">
        <v>55533</v>
      </c>
      <c r="F211" s="12">
        <v>3.5270614081919331E-2</v>
      </c>
      <c r="H211" s="26">
        <v>88567.989922700537</v>
      </c>
      <c r="I211" s="26">
        <f t="shared" si="21"/>
        <v>88567.989922314402</v>
      </c>
      <c r="J211" s="27">
        <f t="shared" si="24"/>
        <v>-5.7849530452893519E-3</v>
      </c>
      <c r="P211" s="25">
        <f t="shared" si="22"/>
        <v>88567.989922314402</v>
      </c>
      <c r="Q211" s="32">
        <v>1214.3699999999999</v>
      </c>
      <c r="R211" s="34">
        <f t="shared" si="23"/>
        <v>3.5900000000000043E-2</v>
      </c>
      <c r="T211" s="38">
        <f t="shared" si="25"/>
        <v>-5.905175501129345E-3</v>
      </c>
      <c r="U211" s="27">
        <f t="shared" si="26"/>
        <v>-4.6456002310459876E-3</v>
      </c>
      <c r="W211" s="62">
        <v>47.26</v>
      </c>
      <c r="X211" s="63">
        <f t="shared" si="27"/>
        <v>-1.3659979136268931E-2</v>
      </c>
    </row>
    <row r="212" spans="3:24" x14ac:dyDescent="0.3">
      <c r="C212" s="16">
        <v>37060</v>
      </c>
      <c r="D212" s="11">
        <v>33350.89</v>
      </c>
      <c r="E212" s="11">
        <v>55533</v>
      </c>
      <c r="F212" s="12">
        <v>3.4208171329736956E-2</v>
      </c>
      <c r="H212" s="26">
        <v>86652.614004298783</v>
      </c>
      <c r="I212" s="26">
        <f t="shared" si="21"/>
        <v>86652.614003856957</v>
      </c>
      <c r="J212" s="27">
        <f t="shared" si="24"/>
        <v>-2.1863321680720704E-2</v>
      </c>
      <c r="P212" s="25">
        <f t="shared" si="22"/>
        <v>86652.614003856957</v>
      </c>
      <c r="Q212" s="32">
        <v>1208.43</v>
      </c>
      <c r="R212" s="34">
        <f t="shared" si="23"/>
        <v>3.4799999999999942E-2</v>
      </c>
      <c r="T212" s="38">
        <f t="shared" si="25"/>
        <v>-2.1764128503760638E-2</v>
      </c>
      <c r="U212" s="27">
        <f t="shared" si="26"/>
        <v>-5.0295021065053236E-3</v>
      </c>
      <c r="W212" s="62">
        <v>44.7</v>
      </c>
      <c r="X212" s="63">
        <f t="shared" si="27"/>
        <v>-5.5690770139238538E-2</v>
      </c>
    </row>
    <row r="213" spans="3:24" x14ac:dyDescent="0.3">
      <c r="C213" s="16">
        <v>37061</v>
      </c>
      <c r="D213" s="11">
        <v>34455.120000000003</v>
      </c>
      <c r="E213" s="11">
        <v>55533</v>
      </c>
      <c r="F213" s="12">
        <v>3.4208171329736956E-2</v>
      </c>
      <c r="H213" s="26">
        <v>87793.433830576119</v>
      </c>
      <c r="I213" s="26">
        <f t="shared" si="21"/>
        <v>87793.433830166439</v>
      </c>
      <c r="J213" s="27">
        <f t="shared" si="24"/>
        <v>1.307952921967569E-2</v>
      </c>
      <c r="P213" s="25">
        <f t="shared" si="22"/>
        <v>87793.433830166439</v>
      </c>
      <c r="Q213" s="32">
        <v>1212.58</v>
      </c>
      <c r="R213" s="34">
        <f t="shared" si="23"/>
        <v>3.4799999999999942E-2</v>
      </c>
      <c r="T213" s="38">
        <f t="shared" si="25"/>
        <v>1.303159425928091E-2</v>
      </c>
      <c r="U213" s="27">
        <f t="shared" si="26"/>
        <v>3.3003618681326508E-3</v>
      </c>
      <c r="W213" s="62">
        <v>46.18</v>
      </c>
      <c r="X213" s="63">
        <f t="shared" si="27"/>
        <v>3.2573302306826077E-2</v>
      </c>
    </row>
    <row r="214" spans="3:24" x14ac:dyDescent="0.3">
      <c r="C214" s="16">
        <v>37062</v>
      </c>
      <c r="D214" s="11">
        <v>34171.589999999997</v>
      </c>
      <c r="E214" s="11">
        <v>55533</v>
      </c>
      <c r="F214" s="12">
        <v>3.3918218203460644E-2</v>
      </c>
      <c r="H214" s="26">
        <v>87516.022967683632</v>
      </c>
      <c r="I214" s="26">
        <f t="shared" si="21"/>
        <v>87516.022967265497</v>
      </c>
      <c r="J214" s="27">
        <f t="shared" si="24"/>
        <v>-3.1648160858622769E-3</v>
      </c>
      <c r="P214" s="25">
        <f t="shared" si="22"/>
        <v>87516.022967265497</v>
      </c>
      <c r="Q214" s="32">
        <v>1223.1400000000001</v>
      </c>
      <c r="R214" s="34">
        <f t="shared" si="23"/>
        <v>3.4499999999999975E-2</v>
      </c>
      <c r="T214" s="38">
        <f t="shared" si="25"/>
        <v>-3.2936594883785641E-3</v>
      </c>
      <c r="U214" s="27">
        <f t="shared" si="26"/>
        <v>8.5748576017823375E-3</v>
      </c>
      <c r="W214" s="62">
        <v>45.8</v>
      </c>
      <c r="X214" s="63">
        <f t="shared" si="27"/>
        <v>-8.2627128062100867E-3</v>
      </c>
    </row>
    <row r="215" spans="3:24" x14ac:dyDescent="0.3">
      <c r="C215" s="16">
        <v>37063</v>
      </c>
      <c r="D215" s="11">
        <v>32865.910000000003</v>
      </c>
      <c r="E215" s="11">
        <v>55533</v>
      </c>
      <c r="F215" s="12">
        <v>3.4111529628767817E-2</v>
      </c>
      <c r="H215" s="26">
        <v>86155.321328795035</v>
      </c>
      <c r="I215" s="26">
        <f t="shared" si="21"/>
        <v>86155.32132833825</v>
      </c>
      <c r="J215" s="27">
        <f t="shared" si="24"/>
        <v>-1.5670166982500799E-2</v>
      </c>
      <c r="P215" s="25">
        <f t="shared" si="22"/>
        <v>86155.32132833825</v>
      </c>
      <c r="Q215" s="32">
        <v>1237.04</v>
      </c>
      <c r="R215" s="34">
        <f t="shared" si="23"/>
        <v>3.4699999999999953E-2</v>
      </c>
      <c r="T215" s="38">
        <f t="shared" si="25"/>
        <v>-1.5680721031943179E-2</v>
      </c>
      <c r="U215" s="27">
        <f t="shared" si="26"/>
        <v>1.1231501488602413E-2</v>
      </c>
      <c r="W215" s="62">
        <v>44.05</v>
      </c>
      <c r="X215" s="63">
        <f t="shared" si="27"/>
        <v>-3.8958738737950763E-2</v>
      </c>
    </row>
    <row r="216" spans="3:24" x14ac:dyDescent="0.3">
      <c r="C216" s="16">
        <v>37064</v>
      </c>
      <c r="D216" s="11">
        <v>33485.18</v>
      </c>
      <c r="E216" s="11">
        <v>55533</v>
      </c>
      <c r="F216" s="12">
        <v>3.4014878587277621E-2</v>
      </c>
      <c r="H216" s="26">
        <v>86801.646505836121</v>
      </c>
      <c r="I216" s="26">
        <f t="shared" si="21"/>
        <v>86801.646505398021</v>
      </c>
      <c r="J216" s="27">
        <f t="shared" si="24"/>
        <v>7.4738612002566629E-3</v>
      </c>
      <c r="P216" s="25">
        <f t="shared" si="22"/>
        <v>86801.646505398021</v>
      </c>
      <c r="Q216" s="32">
        <v>1225.3499999999999</v>
      </c>
      <c r="R216" s="34">
        <f t="shared" si="23"/>
        <v>3.4599999999999964E-2</v>
      </c>
      <c r="T216" s="38">
        <f t="shared" si="25"/>
        <v>7.368398672779719E-3</v>
      </c>
      <c r="U216" s="27">
        <f t="shared" si="26"/>
        <v>-9.583438903785324E-3</v>
      </c>
      <c r="W216" s="62">
        <v>44.88</v>
      </c>
      <c r="X216" s="63">
        <f t="shared" si="27"/>
        <v>1.8666908832252464E-2</v>
      </c>
    </row>
    <row r="217" spans="3:24" x14ac:dyDescent="0.3">
      <c r="C217" s="16">
        <v>37067</v>
      </c>
      <c r="D217" s="11">
        <v>32880.839999999997</v>
      </c>
      <c r="E217" s="11">
        <v>55533</v>
      </c>
      <c r="F217" s="12">
        <v>3.4208171329736956E-2</v>
      </c>
      <c r="H217" s="26">
        <v>86165.764121665838</v>
      </c>
      <c r="I217" s="26">
        <f t="shared" si="21"/>
        <v>86165.764121209664</v>
      </c>
      <c r="J217" s="27">
        <f t="shared" si="24"/>
        <v>-7.3526596321921503E-3</v>
      </c>
      <c r="P217" s="25">
        <f t="shared" si="22"/>
        <v>86165.764121209664</v>
      </c>
      <c r="Q217" s="32">
        <v>1218.5999999999999</v>
      </c>
      <c r="R217" s="34">
        <f t="shared" si="23"/>
        <v>3.4799999999999942E-2</v>
      </c>
      <c r="T217" s="38">
        <f t="shared" si="25"/>
        <v>-7.458771881510895E-3</v>
      </c>
      <c r="U217" s="27">
        <f t="shared" si="26"/>
        <v>-5.6417071103703753E-3</v>
      </c>
      <c r="W217" s="62">
        <v>44.07</v>
      </c>
      <c r="X217" s="63">
        <f t="shared" si="27"/>
        <v>-1.8212982360545266E-2</v>
      </c>
    </row>
    <row r="218" spans="3:24" x14ac:dyDescent="0.3">
      <c r="C218" s="16">
        <v>37068</v>
      </c>
      <c r="D218" s="11">
        <v>32970.370000000003</v>
      </c>
      <c r="E218" s="11">
        <v>55533</v>
      </c>
      <c r="F218" s="12">
        <v>3.4691239789930259E-2</v>
      </c>
      <c r="H218" s="26">
        <v>86233.394180298477</v>
      </c>
      <c r="I218" s="26">
        <f t="shared" si="21"/>
        <v>86233.394179845753</v>
      </c>
      <c r="J218" s="27">
        <f t="shared" si="24"/>
        <v>7.8457531658450517E-4</v>
      </c>
      <c r="P218" s="25">
        <f t="shared" si="22"/>
        <v>86233.394179845753</v>
      </c>
      <c r="Q218" s="32">
        <v>1216.76</v>
      </c>
      <c r="R218" s="34">
        <f t="shared" si="23"/>
        <v>3.5299999999999887E-2</v>
      </c>
      <c r="T218" s="38">
        <f t="shared" si="25"/>
        <v>6.510370225039086E-4</v>
      </c>
      <c r="U218" s="27">
        <f t="shared" si="26"/>
        <v>-1.6437755810577714E-3</v>
      </c>
      <c r="W218" s="62">
        <v>44.19</v>
      </c>
      <c r="X218" s="63">
        <f t="shared" si="27"/>
        <v>2.7192402887529186E-3</v>
      </c>
    </row>
    <row r="219" spans="3:24" x14ac:dyDescent="0.3">
      <c r="C219" s="16">
        <v>37069</v>
      </c>
      <c r="D219" s="11">
        <v>34858.01</v>
      </c>
      <c r="E219" s="11">
        <v>55533</v>
      </c>
      <c r="F219" s="12">
        <v>3.5270614081919331E-2</v>
      </c>
      <c r="H219" s="26">
        <v>88153.196529082197</v>
      </c>
      <c r="I219" s="26">
        <f t="shared" si="21"/>
        <v>88153.196528685148</v>
      </c>
      <c r="J219" s="27">
        <f t="shared" si="24"/>
        <v>2.2018664437616284E-2</v>
      </c>
      <c r="P219" s="25">
        <f t="shared" si="22"/>
        <v>88153.196528685148</v>
      </c>
      <c r="Q219" s="32">
        <v>1211.07</v>
      </c>
      <c r="R219" s="34">
        <f t="shared" si="23"/>
        <v>3.5900000000000043E-2</v>
      </c>
      <c r="T219" s="38">
        <f t="shared" si="25"/>
        <v>2.2127095023831478E-2</v>
      </c>
      <c r="U219" s="27">
        <f t="shared" si="26"/>
        <v>-4.8121228255620929E-3</v>
      </c>
      <c r="W219" s="62">
        <v>46.72</v>
      </c>
      <c r="X219" s="63">
        <f t="shared" si="27"/>
        <v>5.5673819377323054E-2</v>
      </c>
    </row>
    <row r="220" spans="3:24" x14ac:dyDescent="0.3">
      <c r="C220" s="16">
        <v>37070</v>
      </c>
      <c r="D220" s="11">
        <v>36066.71</v>
      </c>
      <c r="E220" s="11">
        <v>55533</v>
      </c>
      <c r="F220" s="12">
        <v>3.6235492582095359E-2</v>
      </c>
      <c r="H220" s="26">
        <v>89345.732652889521</v>
      </c>
      <c r="I220" s="26">
        <f t="shared" si="21"/>
        <v>89345.732652525563</v>
      </c>
      <c r="J220" s="27">
        <f t="shared" si="24"/>
        <v>1.3437309994737441E-2</v>
      </c>
      <c r="P220" s="25">
        <f t="shared" si="22"/>
        <v>89345.732652525563</v>
      </c>
      <c r="Q220" s="32">
        <v>1226.2</v>
      </c>
      <c r="R220" s="34">
        <f t="shared" si="23"/>
        <v>3.6899999999999933E-2</v>
      </c>
      <c r="T220" s="38">
        <f t="shared" si="25"/>
        <v>1.3389919460495614E-2</v>
      </c>
      <c r="U220" s="27">
        <f t="shared" si="26"/>
        <v>1.2355007704566434E-2</v>
      </c>
      <c r="W220" s="62">
        <v>48.34</v>
      </c>
      <c r="X220" s="63">
        <f t="shared" si="27"/>
        <v>3.4087036755365459E-2</v>
      </c>
    </row>
    <row r="221" spans="3:24" x14ac:dyDescent="0.3">
      <c r="C221" s="16">
        <v>37071</v>
      </c>
      <c r="D221" s="11">
        <v>36633.74</v>
      </c>
      <c r="E221" s="11">
        <v>55533</v>
      </c>
      <c r="F221" s="12">
        <v>3.5174075007654085E-2</v>
      </c>
      <c r="H221" s="26">
        <v>89983.105488971909</v>
      </c>
      <c r="I221" s="26">
        <f t="shared" si="21"/>
        <v>89983.105488620757</v>
      </c>
      <c r="J221" s="27">
        <f t="shared" si="24"/>
        <v>7.1084553556747289E-3</v>
      </c>
      <c r="P221" s="25">
        <f t="shared" si="22"/>
        <v>89983.105488620757</v>
      </c>
      <c r="Q221" s="32">
        <v>1224.42</v>
      </c>
      <c r="R221" s="34">
        <f t="shared" si="23"/>
        <v>3.5800000000000054E-2</v>
      </c>
      <c r="T221" s="38">
        <f t="shared" si="25"/>
        <v>6.9918573194389655E-3</v>
      </c>
      <c r="U221" s="27">
        <f t="shared" si="26"/>
        <v>-1.5935622874923006E-3</v>
      </c>
      <c r="W221" s="62">
        <v>49.1</v>
      </c>
      <c r="X221" s="63">
        <f t="shared" si="27"/>
        <v>1.5599659525137954E-2</v>
      </c>
    </row>
    <row r="222" spans="3:24" x14ac:dyDescent="0.3">
      <c r="C222" s="16">
        <v>37074</v>
      </c>
      <c r="D222" s="11">
        <v>36036.86</v>
      </c>
      <c r="E222" s="11">
        <v>55533</v>
      </c>
      <c r="F222" s="12">
        <v>3.6717582935162862E-2</v>
      </c>
      <c r="H222" s="26">
        <v>89289.87052665466</v>
      </c>
      <c r="I222" s="26">
        <f t="shared" si="21"/>
        <v>89289.870526290586</v>
      </c>
      <c r="J222" s="27">
        <f t="shared" si="24"/>
        <v>-7.7338864238548962E-3</v>
      </c>
      <c r="P222" s="25">
        <f t="shared" si="22"/>
        <v>89289.870526290586</v>
      </c>
      <c r="Q222" s="32">
        <v>1236.72</v>
      </c>
      <c r="R222" s="34">
        <f t="shared" si="23"/>
        <v>3.74000000000001E-2</v>
      </c>
      <c r="T222" s="38">
        <f t="shared" si="25"/>
        <v>-7.8417491810999218E-3</v>
      </c>
      <c r="U222" s="27">
        <f t="shared" si="26"/>
        <v>9.9078802899457141E-3</v>
      </c>
      <c r="W222" s="62">
        <v>48.3</v>
      </c>
      <c r="X222" s="63">
        <f t="shared" si="27"/>
        <v>-1.642747414194793E-2</v>
      </c>
    </row>
    <row r="223" spans="3:24" x14ac:dyDescent="0.3">
      <c r="C223" s="16">
        <v>37075</v>
      </c>
      <c r="D223" s="11">
        <v>36327.839999999997</v>
      </c>
      <c r="E223" s="11">
        <v>55533</v>
      </c>
      <c r="F223" s="12">
        <v>3.6428356613551406E-2</v>
      </c>
      <c r="H223" s="26">
        <v>89603.653110466083</v>
      </c>
      <c r="I223" s="26">
        <f t="shared" si="21"/>
        <v>89603.653110108964</v>
      </c>
      <c r="J223" s="27">
        <f t="shared" si="24"/>
        <v>3.5080409757155366E-3</v>
      </c>
      <c r="P223" s="25">
        <f t="shared" si="22"/>
        <v>89603.653110108964</v>
      </c>
      <c r="Q223" s="32">
        <v>1234.45</v>
      </c>
      <c r="R223" s="34">
        <f t="shared" si="23"/>
        <v>3.7099999999999911E-2</v>
      </c>
      <c r="T223" s="38">
        <f t="shared" si="25"/>
        <v>3.3703551992176894E-3</v>
      </c>
      <c r="U223" s="27">
        <f t="shared" si="26"/>
        <v>-1.9793465096259455E-3</v>
      </c>
      <c r="W223" s="62">
        <v>48.69</v>
      </c>
      <c r="X223" s="63">
        <f t="shared" si="27"/>
        <v>8.0421095360825815E-3</v>
      </c>
    </row>
    <row r="224" spans="3:24" x14ac:dyDescent="0.3">
      <c r="C224" s="16">
        <v>37076</v>
      </c>
      <c r="D224" s="11">
        <v>36327.839999999997</v>
      </c>
      <c r="E224" s="11">
        <v>55533</v>
      </c>
      <c r="F224" s="12">
        <v>3.6380144092750526E-2</v>
      </c>
      <c r="H224" s="26">
        <v>89606.176165245139</v>
      </c>
      <c r="I224" s="26">
        <f t="shared" si="21"/>
        <v>89606.176164887933</v>
      </c>
      <c r="J224" s="27">
        <f t="shared" si="24"/>
        <v>2.8157549051996015E-5</v>
      </c>
      <c r="P224" s="25">
        <f t="shared" si="22"/>
        <v>89606.176164887933</v>
      </c>
      <c r="Q224" s="32">
        <v>1234.45</v>
      </c>
      <c r="R224" s="34">
        <f t="shared" si="23"/>
        <v>3.7050000000000027E-2</v>
      </c>
      <c r="T224" s="38">
        <f t="shared" si="25"/>
        <v>-1.1453436221375846E-4</v>
      </c>
      <c r="U224" s="27">
        <f t="shared" si="26"/>
        <v>-1.426923076923714E-4</v>
      </c>
      <c r="W224" s="62">
        <v>48.69</v>
      </c>
      <c r="X224" s="63">
        <f t="shared" si="27"/>
        <v>0</v>
      </c>
    </row>
    <row r="225" spans="3:24" x14ac:dyDescent="0.3">
      <c r="C225" s="16">
        <v>37077</v>
      </c>
      <c r="D225" s="11">
        <v>37260.47</v>
      </c>
      <c r="E225" s="11">
        <v>55533</v>
      </c>
      <c r="F225" s="12">
        <v>3.6331929247390204E-2</v>
      </c>
      <c r="H225" s="26">
        <v>90564.540644373657</v>
      </c>
      <c r="I225" s="26">
        <f t="shared" si="21"/>
        <v>90564.540644038949</v>
      </c>
      <c r="J225" s="27">
        <f t="shared" si="24"/>
        <v>1.0638504801216106E-2</v>
      </c>
      <c r="P225" s="25">
        <f t="shared" si="22"/>
        <v>90564.540644038949</v>
      </c>
      <c r="Q225" s="32">
        <v>1219.24</v>
      </c>
      <c r="R225" s="34">
        <f t="shared" si="23"/>
        <v>3.6999999999999922E-2</v>
      </c>
      <c r="T225" s="38">
        <f t="shared" si="25"/>
        <v>1.055279490230121E-2</v>
      </c>
      <c r="U225" s="27">
        <f t="shared" si="26"/>
        <v>-1.2463776681923111E-2</v>
      </c>
      <c r="W225" s="62">
        <v>49.94</v>
      </c>
      <c r="X225" s="63">
        <f t="shared" si="27"/>
        <v>2.5348614657017533E-2</v>
      </c>
    </row>
    <row r="226" spans="3:24" x14ac:dyDescent="0.3">
      <c r="C226" s="16">
        <v>37078</v>
      </c>
      <c r="D226" s="11">
        <v>36603.910000000003</v>
      </c>
      <c r="E226" s="11">
        <v>55533</v>
      </c>
      <c r="F226" s="12">
        <v>3.6331929247390204E-2</v>
      </c>
      <c r="H226" s="26">
        <v>89891.858958733443</v>
      </c>
      <c r="I226" s="26">
        <f t="shared" si="21"/>
        <v>89891.858958383003</v>
      </c>
      <c r="J226" s="27">
        <f t="shared" si="24"/>
        <v>-7.4553720776695514E-3</v>
      </c>
      <c r="P226" s="25">
        <f t="shared" si="22"/>
        <v>89891.858958383003</v>
      </c>
      <c r="Q226" s="32">
        <v>1190.5899999999999</v>
      </c>
      <c r="R226" s="34">
        <f t="shared" si="23"/>
        <v>3.6999999999999922E-2</v>
      </c>
      <c r="T226" s="38">
        <f t="shared" si="25"/>
        <v>-7.5699574200295272E-3</v>
      </c>
      <c r="U226" s="27">
        <f t="shared" si="26"/>
        <v>-2.3640552500548973E-2</v>
      </c>
      <c r="W226" s="62">
        <v>49.06</v>
      </c>
      <c r="X226" s="63">
        <f t="shared" si="27"/>
        <v>-1.777824602128383E-2</v>
      </c>
    </row>
    <row r="227" spans="3:24" x14ac:dyDescent="0.3">
      <c r="C227" s="16">
        <v>37081</v>
      </c>
      <c r="D227" s="11">
        <v>36603.910000000003</v>
      </c>
      <c r="E227" s="11">
        <v>55533</v>
      </c>
      <c r="F227" s="12">
        <v>3.5946126773469089E-2</v>
      </c>
      <c r="H227" s="26">
        <v>89912.063388349983</v>
      </c>
      <c r="I227" s="26">
        <f t="shared" si="21"/>
        <v>89912.063387999064</v>
      </c>
      <c r="J227" s="27">
        <f t="shared" si="24"/>
        <v>2.2473847553322669E-4</v>
      </c>
      <c r="P227" s="25">
        <f t="shared" si="22"/>
        <v>89912.063387999064</v>
      </c>
      <c r="Q227" s="32">
        <v>1198.78</v>
      </c>
      <c r="R227" s="34">
        <f t="shared" si="23"/>
        <v>3.6599999999999966E-2</v>
      </c>
      <c r="T227" s="38">
        <f t="shared" si="25"/>
        <v>8.2456038803968568E-5</v>
      </c>
      <c r="U227" s="27">
        <f t="shared" si="26"/>
        <v>6.7366346808015454E-3</v>
      </c>
      <c r="W227" s="62">
        <v>49.06</v>
      </c>
      <c r="X227" s="63">
        <f t="shared" si="27"/>
        <v>0</v>
      </c>
    </row>
    <row r="228" spans="3:24" x14ac:dyDescent="0.3">
      <c r="C228" s="16">
        <v>37082</v>
      </c>
      <c r="D228" s="11">
        <v>36723.269999999997</v>
      </c>
      <c r="E228" s="11">
        <v>55533</v>
      </c>
      <c r="F228" s="12">
        <v>3.546366427556906E-2</v>
      </c>
      <c r="H228" s="26">
        <v>90059.716647856767</v>
      </c>
      <c r="I228" s="26">
        <f t="shared" si="21"/>
        <v>90059.716647508176</v>
      </c>
      <c r="J228" s="27">
        <f t="shared" si="24"/>
        <v>1.6408493887807541E-3</v>
      </c>
      <c r="P228" s="25">
        <f t="shared" si="22"/>
        <v>90059.716647508176</v>
      </c>
      <c r="Q228" s="32">
        <v>1181.52</v>
      </c>
      <c r="R228" s="34">
        <f t="shared" si="23"/>
        <v>3.6100000000000021E-2</v>
      </c>
      <c r="T228" s="38">
        <f t="shared" si="25"/>
        <v>1.5014270880042702E-3</v>
      </c>
      <c r="U228" s="27">
        <f t="shared" si="26"/>
        <v>-1.4538740501561342E-2</v>
      </c>
      <c r="W228" s="62">
        <v>49.22</v>
      </c>
      <c r="X228" s="63">
        <f t="shared" si="27"/>
        <v>3.25600613256647E-3</v>
      </c>
    </row>
    <row r="229" spans="3:24" x14ac:dyDescent="0.3">
      <c r="C229" s="16">
        <v>37083</v>
      </c>
      <c r="D229" s="11">
        <v>36633.74</v>
      </c>
      <c r="E229" s="11">
        <v>55533</v>
      </c>
      <c r="F229" s="12">
        <v>3.5367143837291344E-2</v>
      </c>
      <c r="H229" s="26">
        <v>89972.98574705518</v>
      </c>
      <c r="I229" s="26">
        <f t="shared" si="21"/>
        <v>89972.98574670426</v>
      </c>
      <c r="J229" s="27">
        <f t="shared" si="24"/>
        <v>-9.6350170116260244E-4</v>
      </c>
      <c r="P229" s="25">
        <f t="shared" si="22"/>
        <v>89972.98574670426</v>
      </c>
      <c r="Q229" s="32">
        <v>1180.18</v>
      </c>
      <c r="R229" s="34">
        <f t="shared" si="23"/>
        <v>3.6000000000000032E-2</v>
      </c>
      <c r="T229" s="38">
        <f t="shared" si="25"/>
        <v>-1.1018838363138217E-3</v>
      </c>
      <c r="U229" s="27">
        <f t="shared" si="26"/>
        <v>-1.2729784579965653E-3</v>
      </c>
      <c r="W229" s="62">
        <v>49.1</v>
      </c>
      <c r="X229" s="63">
        <f t="shared" si="27"/>
        <v>-2.4410101624348529E-3</v>
      </c>
    </row>
    <row r="230" spans="3:24" x14ac:dyDescent="0.3">
      <c r="C230" s="16">
        <v>37084</v>
      </c>
      <c r="D230" s="11">
        <v>36969.49</v>
      </c>
      <c r="E230" s="11">
        <v>55533</v>
      </c>
      <c r="F230" s="12">
        <v>3.5367143837291344E-2</v>
      </c>
      <c r="H230" s="26">
        <v>90317.111978303088</v>
      </c>
      <c r="I230" s="26">
        <f t="shared" si="21"/>
        <v>90317.111977960318</v>
      </c>
      <c r="J230" s="27">
        <f t="shared" si="24"/>
        <v>3.8174769829944595E-3</v>
      </c>
      <c r="P230" s="25">
        <f t="shared" si="22"/>
        <v>90317.111977960318</v>
      </c>
      <c r="Q230" s="32">
        <v>1208.1400000000001</v>
      </c>
      <c r="R230" s="34">
        <f t="shared" si="23"/>
        <v>3.6000000000000032E-2</v>
      </c>
      <c r="T230" s="38">
        <f t="shared" si="25"/>
        <v>3.686311290850286E-3</v>
      </c>
      <c r="U230" s="27">
        <f t="shared" si="26"/>
        <v>2.3552839788454571E-2</v>
      </c>
      <c r="W230" s="62">
        <v>49.55</v>
      </c>
      <c r="X230" s="63">
        <f t="shared" si="27"/>
        <v>9.1232259755219709E-3</v>
      </c>
    </row>
    <row r="231" spans="3:24" x14ac:dyDescent="0.3">
      <c r="C231" s="16">
        <v>37085</v>
      </c>
      <c r="D231" s="11">
        <v>36395</v>
      </c>
      <c r="E231" s="11">
        <v>55533</v>
      </c>
      <c r="F231" s="12">
        <v>3.5560175398550879E-2</v>
      </c>
      <c r="H231" s="26">
        <v>89718.010973126395</v>
      </c>
      <c r="I231" s="26">
        <f t="shared" si="21"/>
        <v>89718.010972769829</v>
      </c>
      <c r="J231" s="27">
        <f t="shared" si="24"/>
        <v>-6.6554037540582922E-3</v>
      </c>
      <c r="P231" s="25">
        <f t="shared" si="22"/>
        <v>89718.010972769829</v>
      </c>
      <c r="Q231" s="32">
        <v>1215.68</v>
      </c>
      <c r="R231" s="34">
        <f t="shared" si="23"/>
        <v>3.620000000000001E-2</v>
      </c>
      <c r="T231" s="38">
        <f t="shared" si="25"/>
        <v>-6.7717671443437988E-3</v>
      </c>
      <c r="U231" s="27">
        <f t="shared" si="26"/>
        <v>6.1025370213079189E-3</v>
      </c>
      <c r="W231" s="62">
        <v>48.78</v>
      </c>
      <c r="X231" s="63">
        <f t="shared" si="27"/>
        <v>-1.5661867988222656E-2</v>
      </c>
    </row>
    <row r="232" spans="3:24" x14ac:dyDescent="0.3">
      <c r="C232" s="16">
        <v>37088</v>
      </c>
      <c r="D232" s="11">
        <v>36648.67</v>
      </c>
      <c r="E232" s="11">
        <v>55533</v>
      </c>
      <c r="F232" s="12">
        <v>3.5656677208034684E-2</v>
      </c>
      <c r="H232" s="26">
        <v>89973.121095606286</v>
      </c>
      <c r="I232" s="26">
        <f t="shared" si="21"/>
        <v>89973.121095256094</v>
      </c>
      <c r="J232" s="27">
        <f t="shared" si="24"/>
        <v>2.8394310942580596E-3</v>
      </c>
      <c r="P232" s="25">
        <f t="shared" si="22"/>
        <v>89973.121095256094</v>
      </c>
      <c r="Q232" s="32">
        <v>1202.45</v>
      </c>
      <c r="R232" s="34">
        <f t="shared" si="23"/>
        <v>3.6299999999999999E-2</v>
      </c>
      <c r="T232" s="38">
        <f t="shared" si="25"/>
        <v>2.7042353277126896E-3</v>
      </c>
      <c r="U232" s="27">
        <f t="shared" si="26"/>
        <v>-1.1022028873995171E-2</v>
      </c>
      <c r="W232" s="62">
        <v>49.12</v>
      </c>
      <c r="X232" s="63">
        <f t="shared" si="27"/>
        <v>6.9458910511127053E-3</v>
      </c>
    </row>
    <row r="233" spans="3:24" x14ac:dyDescent="0.3">
      <c r="C233" s="16">
        <v>37089</v>
      </c>
      <c r="D233" s="11">
        <v>37193.32</v>
      </c>
      <c r="E233" s="11">
        <v>55533</v>
      </c>
      <c r="F233" s="12">
        <v>3.5656677208034684E-2</v>
      </c>
      <c r="H233" s="26">
        <v>90531.190779371522</v>
      </c>
      <c r="I233" s="26">
        <f t="shared" si="21"/>
        <v>90531.190779034441</v>
      </c>
      <c r="J233" s="27">
        <f t="shared" si="24"/>
        <v>6.1834695928366552E-3</v>
      </c>
      <c r="P233" s="25">
        <f t="shared" si="22"/>
        <v>90531.190779034441</v>
      </c>
      <c r="Q233" s="32">
        <v>1214.44</v>
      </c>
      <c r="R233" s="34">
        <f t="shared" si="23"/>
        <v>3.6299999999999999E-2</v>
      </c>
      <c r="T233" s="38">
        <f t="shared" si="25"/>
        <v>6.0630113219486415E-3</v>
      </c>
      <c r="U233" s="27">
        <f t="shared" si="26"/>
        <v>9.8316931937039165E-3</v>
      </c>
      <c r="W233" s="62">
        <v>49.85</v>
      </c>
      <c r="X233" s="63">
        <f t="shared" si="27"/>
        <v>1.4752212568960458E-2</v>
      </c>
    </row>
    <row r="234" spans="3:24" x14ac:dyDescent="0.3">
      <c r="C234" s="16">
        <v>37090</v>
      </c>
      <c r="D234" s="11">
        <v>36536.75</v>
      </c>
      <c r="E234" s="11">
        <v>55533</v>
      </c>
      <c r="F234" s="12">
        <v>3.5077526612696162E-2</v>
      </c>
      <c r="H234" s="26">
        <v>89888.7037207994</v>
      </c>
      <c r="I234" s="26">
        <f t="shared" si="21"/>
        <v>89888.703720445745</v>
      </c>
      <c r="J234" s="27">
        <f t="shared" si="24"/>
        <v>-7.1221610699379349E-3</v>
      </c>
      <c r="P234" s="25">
        <f t="shared" si="22"/>
        <v>89888.703720445745</v>
      </c>
      <c r="Q234" s="32">
        <v>1207.71</v>
      </c>
      <c r="R234" s="34">
        <f t="shared" si="23"/>
        <v>3.5700000000000065E-2</v>
      </c>
      <c r="T234" s="38">
        <f t="shared" si="25"/>
        <v>-7.2364739707004855E-3</v>
      </c>
      <c r="U234" s="27">
        <f t="shared" si="26"/>
        <v>-5.6812642104115962E-3</v>
      </c>
      <c r="W234" s="62">
        <v>48.97</v>
      </c>
      <c r="X234" s="63">
        <f t="shared" si="27"/>
        <v>-1.7810630693621429E-2</v>
      </c>
    </row>
    <row r="235" spans="3:24" x14ac:dyDescent="0.3">
      <c r="C235" s="16">
        <v>37091</v>
      </c>
      <c r="D235" s="11">
        <v>36618.82</v>
      </c>
      <c r="E235" s="11">
        <v>55533</v>
      </c>
      <c r="F235" s="12">
        <v>3.5367143837291344E-2</v>
      </c>
      <c r="H235" s="26">
        <v>89957.687204004062</v>
      </c>
      <c r="I235" s="26">
        <f t="shared" si="21"/>
        <v>89957.687203652778</v>
      </c>
      <c r="J235" s="27">
        <f t="shared" si="24"/>
        <v>7.6713784728189589E-4</v>
      </c>
      <c r="P235" s="25">
        <f t="shared" si="22"/>
        <v>89957.687203652778</v>
      </c>
      <c r="Q235" s="32">
        <v>1215.02</v>
      </c>
      <c r="R235" s="34">
        <f t="shared" si="23"/>
        <v>3.6000000000000032E-2</v>
      </c>
      <c r="T235" s="38">
        <f t="shared" si="25"/>
        <v>6.3012448049981629E-4</v>
      </c>
      <c r="U235" s="27">
        <f t="shared" si="26"/>
        <v>5.9154698784666948E-3</v>
      </c>
      <c r="W235" s="62">
        <v>49.08</v>
      </c>
      <c r="X235" s="63">
        <f t="shared" si="27"/>
        <v>2.2437541284847772E-3</v>
      </c>
    </row>
    <row r="236" spans="3:24" x14ac:dyDescent="0.3">
      <c r="C236" s="16">
        <v>37092</v>
      </c>
      <c r="D236" s="11">
        <v>35932.400000000001</v>
      </c>
      <c r="E236" s="11">
        <v>55533</v>
      </c>
      <c r="F236" s="12">
        <v>3.5367143837291344E-2</v>
      </c>
      <c r="H236" s="26">
        <v>89253.250050095157</v>
      </c>
      <c r="I236" s="26">
        <f t="shared" si="21"/>
        <v>89253.250049726674</v>
      </c>
      <c r="J236" s="27">
        <f t="shared" si="24"/>
        <v>-7.8615824771969978E-3</v>
      </c>
      <c r="P236" s="25">
        <f t="shared" si="22"/>
        <v>89253.250049726674</v>
      </c>
      <c r="Q236" s="32">
        <v>1210.8499999999999</v>
      </c>
      <c r="R236" s="34">
        <f t="shared" si="23"/>
        <v>3.6000000000000032E-2</v>
      </c>
      <c r="T236" s="38">
        <f t="shared" si="25"/>
        <v>-7.9692225976176756E-3</v>
      </c>
      <c r="U236" s="27">
        <f t="shared" si="26"/>
        <v>-3.5705038093708508E-3</v>
      </c>
      <c r="W236" s="62">
        <v>48.16</v>
      </c>
      <c r="X236" s="63">
        <f t="shared" si="27"/>
        <v>-1.8922818842145122E-2</v>
      </c>
    </row>
    <row r="237" spans="3:24" x14ac:dyDescent="0.3">
      <c r="C237" s="16">
        <v>37095</v>
      </c>
      <c r="D237" s="11">
        <v>34813.25</v>
      </c>
      <c r="E237" s="11">
        <v>55533</v>
      </c>
      <c r="F237" s="12">
        <v>3.5270614081919331E-2</v>
      </c>
      <c r="H237" s="26">
        <v>88107.086474030715</v>
      </c>
      <c r="I237" s="26">
        <f t="shared" si="21"/>
        <v>88107.086473632458</v>
      </c>
      <c r="J237" s="27">
        <f t="shared" si="24"/>
        <v>-1.2924868707940497E-2</v>
      </c>
      <c r="P237" s="25">
        <f t="shared" si="22"/>
        <v>88107.086473632458</v>
      </c>
      <c r="Q237" s="32">
        <v>1191.03</v>
      </c>
      <c r="R237" s="34">
        <f t="shared" si="23"/>
        <v>3.5900000000000043E-2</v>
      </c>
      <c r="T237" s="38">
        <f t="shared" si="25"/>
        <v>-1.2980162826152997E-2</v>
      </c>
      <c r="U237" s="27">
        <f t="shared" si="26"/>
        <v>-1.6507128177599362E-2</v>
      </c>
      <c r="W237" s="62">
        <v>46.66</v>
      </c>
      <c r="X237" s="63">
        <f t="shared" si="27"/>
        <v>-3.1641534407281714E-2</v>
      </c>
    </row>
    <row r="238" spans="3:24" x14ac:dyDescent="0.3">
      <c r="C238" s="16">
        <v>37096</v>
      </c>
      <c r="D238" s="11">
        <v>32261.57</v>
      </c>
      <c r="E238" s="11">
        <v>55533</v>
      </c>
      <c r="F238" s="12">
        <v>3.5270614081919331E-2</v>
      </c>
      <c r="H238" s="26">
        <v>85467.932100239836</v>
      </c>
      <c r="I238" s="26">
        <f t="shared" si="21"/>
        <v>85467.932099765691</v>
      </c>
      <c r="J238" s="27">
        <f t="shared" si="24"/>
        <v>-3.0411723982062117E-2</v>
      </c>
      <c r="P238" s="25">
        <f t="shared" si="22"/>
        <v>85467.932099765691</v>
      </c>
      <c r="Q238" s="32">
        <v>1171.6500000000001</v>
      </c>
      <c r="R238" s="34">
        <f t="shared" si="23"/>
        <v>3.5900000000000043E-2</v>
      </c>
      <c r="T238" s="38">
        <f t="shared" si="25"/>
        <v>-3.0092016832968138E-2</v>
      </c>
      <c r="U238" s="27">
        <f t="shared" si="26"/>
        <v>-1.6409707360597325E-2</v>
      </c>
      <c r="W238" s="62">
        <v>43.24</v>
      </c>
      <c r="X238" s="63">
        <f t="shared" si="27"/>
        <v>-7.6121273822276278E-2</v>
      </c>
    </row>
    <row r="239" spans="3:24" x14ac:dyDescent="0.3">
      <c r="C239" s="16">
        <v>37097</v>
      </c>
      <c r="D239" s="11">
        <v>33544.870000000003</v>
      </c>
      <c r="E239" s="11">
        <v>55533</v>
      </c>
      <c r="F239" s="12">
        <v>3.5560175398550879E-2</v>
      </c>
      <c r="H239" s="26">
        <v>86782.833475961539</v>
      </c>
      <c r="I239" s="26">
        <f t="shared" si="21"/>
        <v>86782.833475527441</v>
      </c>
      <c r="J239" s="27">
        <f t="shared" si="24"/>
        <v>1.5267588658922717E-2</v>
      </c>
      <c r="P239" s="25">
        <f t="shared" si="22"/>
        <v>86782.833475527441</v>
      </c>
      <c r="Q239" s="32">
        <v>1190.49</v>
      </c>
      <c r="R239" s="34">
        <f t="shared" si="23"/>
        <v>3.620000000000001E-2</v>
      </c>
      <c r="T239" s="38">
        <f t="shared" si="25"/>
        <v>1.52466567829741E-2</v>
      </c>
      <c r="U239" s="27">
        <f t="shared" si="26"/>
        <v>1.5941810415291968E-2</v>
      </c>
      <c r="W239" s="62">
        <v>44.96</v>
      </c>
      <c r="X239" s="63">
        <f t="shared" si="27"/>
        <v>3.9007212814427997E-2</v>
      </c>
    </row>
    <row r="240" spans="3:24" x14ac:dyDescent="0.3">
      <c r="C240" s="16">
        <v>37098</v>
      </c>
      <c r="D240" s="11">
        <v>34947.550000000003</v>
      </c>
      <c r="E240" s="11">
        <v>55533</v>
      </c>
      <c r="F240" s="12">
        <v>3.5270614081919331E-2</v>
      </c>
      <c r="H240" s="26">
        <v>88245.419803425772</v>
      </c>
      <c r="I240" s="26">
        <f t="shared" si="21"/>
        <v>88245.419803031182</v>
      </c>
      <c r="J240" s="27">
        <f t="shared" si="24"/>
        <v>1.6712963129304086E-2</v>
      </c>
      <c r="P240" s="25">
        <f t="shared" si="22"/>
        <v>88245.419803031182</v>
      </c>
      <c r="Q240" s="32">
        <v>1202.93</v>
      </c>
      <c r="R240" s="34">
        <f t="shared" si="23"/>
        <v>3.5900000000000043E-2</v>
      </c>
      <c r="T240" s="38">
        <f t="shared" si="25"/>
        <v>1.6714175243563112E-2</v>
      </c>
      <c r="U240" s="27">
        <f t="shared" si="26"/>
        <v>1.0310248016815349E-2</v>
      </c>
      <c r="W240" s="62">
        <v>46.84</v>
      </c>
      <c r="X240" s="63">
        <f t="shared" si="27"/>
        <v>4.0964333144080906E-2</v>
      </c>
    </row>
    <row r="241" spans="3:24" x14ac:dyDescent="0.3">
      <c r="C241" s="16">
        <v>37099</v>
      </c>
      <c r="D241" s="11">
        <v>34395.43</v>
      </c>
      <c r="E241" s="11">
        <v>55533</v>
      </c>
      <c r="F241" s="12">
        <v>3.5270614081919331E-2</v>
      </c>
      <c r="H241" s="26">
        <v>87676.378746958173</v>
      </c>
      <c r="I241" s="26">
        <f t="shared" si="21"/>
        <v>87676.378746548275</v>
      </c>
      <c r="J241" s="27">
        <f t="shared" si="24"/>
        <v>-6.4692726626999061E-3</v>
      </c>
      <c r="P241" s="25">
        <f t="shared" si="22"/>
        <v>87676.378746548275</v>
      </c>
      <c r="Q241" s="32">
        <v>1205.82</v>
      </c>
      <c r="R241" s="34">
        <f t="shared" si="23"/>
        <v>3.5900000000000043E-2</v>
      </c>
      <c r="T241" s="38">
        <f t="shared" si="25"/>
        <v>-6.5864688934822446E-3</v>
      </c>
      <c r="U241" s="27">
        <f t="shared" si="26"/>
        <v>2.2643903859100867E-3</v>
      </c>
      <c r="W241" s="62">
        <v>46.1</v>
      </c>
      <c r="X241" s="63">
        <f t="shared" si="27"/>
        <v>-1.5924588726913786E-2</v>
      </c>
    </row>
    <row r="242" spans="3:24" x14ac:dyDescent="0.3">
      <c r="C242" s="16">
        <v>37102</v>
      </c>
      <c r="D242" s="11">
        <v>34119.379999999997</v>
      </c>
      <c r="E242" s="11">
        <v>55533</v>
      </c>
      <c r="F242" s="12">
        <v>3.4980968895245594E-2</v>
      </c>
      <c r="H242" s="26">
        <v>87406.636798685242</v>
      </c>
      <c r="I242" s="26">
        <f t="shared" si="21"/>
        <v>87406.636798267107</v>
      </c>
      <c r="J242" s="27">
        <f t="shared" si="24"/>
        <v>-3.0813058691399739E-3</v>
      </c>
      <c r="P242" s="25">
        <f t="shared" si="22"/>
        <v>87406.636798267107</v>
      </c>
      <c r="Q242" s="32">
        <v>1204.52</v>
      </c>
      <c r="R242" s="34">
        <f t="shared" si="23"/>
        <v>3.5600000000000076E-2</v>
      </c>
      <c r="T242" s="38">
        <f t="shared" si="25"/>
        <v>-3.2146404415239749E-3</v>
      </c>
      <c r="U242" s="27">
        <f t="shared" si="26"/>
        <v>-1.2161814494573431E-3</v>
      </c>
      <c r="W242" s="62">
        <v>45.73</v>
      </c>
      <c r="X242" s="63">
        <f t="shared" si="27"/>
        <v>-8.0584123326391636E-3</v>
      </c>
    </row>
    <row r="243" spans="3:24" x14ac:dyDescent="0.3">
      <c r="C243" s="16">
        <v>37103</v>
      </c>
      <c r="D243" s="11">
        <v>34006</v>
      </c>
      <c r="E243" s="11">
        <v>55533</v>
      </c>
      <c r="F243" s="12">
        <v>3.5560175398550879E-2</v>
      </c>
      <c r="H243" s="26">
        <v>87259.358666956279</v>
      </c>
      <c r="I243" s="26">
        <f t="shared" si="21"/>
        <v>87259.358666535671</v>
      </c>
      <c r="J243" s="27">
        <f t="shared" si="24"/>
        <v>-1.6863977014012262E-3</v>
      </c>
      <c r="P243" s="25">
        <f t="shared" si="22"/>
        <v>87259.358666535671</v>
      </c>
      <c r="Q243" s="32">
        <v>1211.23</v>
      </c>
      <c r="R243" s="34">
        <f t="shared" si="23"/>
        <v>3.620000000000001E-2</v>
      </c>
      <c r="T243" s="38">
        <f t="shared" si="25"/>
        <v>-1.8218996087550066E-3</v>
      </c>
      <c r="U243" s="27">
        <f t="shared" si="26"/>
        <v>5.4337606809224948E-3</v>
      </c>
      <c r="W243" s="62">
        <v>45.35</v>
      </c>
      <c r="X243" s="63">
        <f t="shared" si="27"/>
        <v>-8.3443611088181366E-3</v>
      </c>
    </row>
    <row r="244" spans="3:24" x14ac:dyDescent="0.3">
      <c r="C244" s="16">
        <v>37104</v>
      </c>
      <c r="D244" s="11">
        <v>34200.959999999999</v>
      </c>
      <c r="E244" s="11">
        <v>55533</v>
      </c>
      <c r="F244" s="12">
        <v>3.4980968895245594E-2</v>
      </c>
      <c r="H244" s="26">
        <v>87490.845779169598</v>
      </c>
      <c r="I244" s="26">
        <f t="shared" si="21"/>
        <v>87490.845778753792</v>
      </c>
      <c r="J244" s="27">
        <f t="shared" si="24"/>
        <v>2.6493502350829665E-3</v>
      </c>
      <c r="P244" s="25">
        <f t="shared" si="22"/>
        <v>87490.845778753792</v>
      </c>
      <c r="Q244" s="32">
        <v>1215.93</v>
      </c>
      <c r="R244" s="34">
        <f t="shared" si="23"/>
        <v>3.5600000000000076E-2</v>
      </c>
      <c r="T244" s="38">
        <f t="shared" si="25"/>
        <v>2.5136320956311575E-3</v>
      </c>
      <c r="U244" s="27">
        <f t="shared" si="26"/>
        <v>3.7411222603342953E-3</v>
      </c>
      <c r="W244" s="62">
        <v>45.61</v>
      </c>
      <c r="X244" s="63">
        <f t="shared" si="27"/>
        <v>5.7168141624634608E-3</v>
      </c>
    </row>
    <row r="245" spans="3:24" x14ac:dyDescent="0.3">
      <c r="C245" s="16">
        <v>37105</v>
      </c>
      <c r="D245" s="11">
        <v>34178.46</v>
      </c>
      <c r="E245" s="11">
        <v>55533</v>
      </c>
      <c r="F245" s="12">
        <v>3.5077526612696162E-2</v>
      </c>
      <c r="H245" s="26">
        <v>87462.583676142123</v>
      </c>
      <c r="I245" s="26">
        <f t="shared" si="21"/>
        <v>87462.583675725808</v>
      </c>
      <c r="J245" s="27">
        <f t="shared" si="24"/>
        <v>-3.2308144357387264E-4</v>
      </c>
      <c r="P245" s="25">
        <f t="shared" si="22"/>
        <v>87462.583675725808</v>
      </c>
      <c r="Q245" s="32">
        <v>1220.75</v>
      </c>
      <c r="R245" s="34">
        <f t="shared" si="23"/>
        <v>3.5700000000000065E-2</v>
      </c>
      <c r="T245" s="38">
        <f t="shared" si="25"/>
        <v>-4.5995233531481716E-4</v>
      </c>
      <c r="U245" s="27">
        <f t="shared" si="26"/>
        <v>3.8271209058720057E-3</v>
      </c>
      <c r="W245" s="62">
        <v>45.58</v>
      </c>
      <c r="X245" s="63">
        <f t="shared" si="27"/>
        <v>-6.5796690607084309E-4</v>
      </c>
    </row>
    <row r="246" spans="3:24" x14ac:dyDescent="0.3">
      <c r="C246" s="16">
        <v>37106</v>
      </c>
      <c r="D246" s="11">
        <v>34013.5</v>
      </c>
      <c r="E246" s="11">
        <v>55533</v>
      </c>
      <c r="F246" s="12">
        <v>3.4980968895245594E-2</v>
      </c>
      <c r="H246" s="26">
        <v>87297.313692472293</v>
      </c>
      <c r="I246" s="26">
        <f t="shared" si="21"/>
        <v>87297.313692051102</v>
      </c>
      <c r="J246" s="27">
        <f t="shared" si="24"/>
        <v>-1.891395399376354E-3</v>
      </c>
      <c r="P246" s="25">
        <f t="shared" si="22"/>
        <v>87297.313692051102</v>
      </c>
      <c r="Q246" s="32">
        <v>1214.3499999999999</v>
      </c>
      <c r="R246" s="34">
        <f t="shared" si="23"/>
        <v>3.5600000000000076E-2</v>
      </c>
      <c r="T246" s="38">
        <f t="shared" si="25"/>
        <v>-2.0269155306429365E-3</v>
      </c>
      <c r="U246" s="27">
        <f t="shared" si="26"/>
        <v>-5.3799863734463882E-3</v>
      </c>
      <c r="W246" s="62">
        <v>45.36</v>
      </c>
      <c r="X246" s="63">
        <f t="shared" si="27"/>
        <v>-4.8383643980415515E-3</v>
      </c>
    </row>
    <row r="247" spans="3:24" x14ac:dyDescent="0.3">
      <c r="C247" s="16">
        <v>37109</v>
      </c>
      <c r="D247" s="11">
        <v>33368.629999999997</v>
      </c>
      <c r="E247" s="11">
        <v>55533</v>
      </c>
      <c r="F247" s="12">
        <v>3.4980968895245594E-2</v>
      </c>
      <c r="H247" s="26">
        <v>86630.695059942605</v>
      </c>
      <c r="I247" s="26">
        <f t="shared" si="21"/>
        <v>86630.69505950241</v>
      </c>
      <c r="J247" s="27">
        <f t="shared" si="24"/>
        <v>-7.665492194209097E-3</v>
      </c>
      <c r="P247" s="25">
        <f t="shared" si="22"/>
        <v>86630.69505950241</v>
      </c>
      <c r="Q247" s="32">
        <v>1200.48</v>
      </c>
      <c r="R247" s="34">
        <f t="shared" si="23"/>
        <v>3.5600000000000076E-2</v>
      </c>
      <c r="T247" s="38">
        <f t="shared" si="25"/>
        <v>-7.773110312881415E-3</v>
      </c>
      <c r="U247" s="27">
        <f t="shared" si="26"/>
        <v>-1.1558671337309145E-2</v>
      </c>
      <c r="W247" s="62">
        <v>44.5</v>
      </c>
      <c r="X247" s="63">
        <f t="shared" si="27"/>
        <v>-1.9141470247302058E-2</v>
      </c>
    </row>
    <row r="248" spans="3:24" x14ac:dyDescent="0.3">
      <c r="C248" s="16">
        <v>37110</v>
      </c>
      <c r="D248" s="11">
        <v>32693.75</v>
      </c>
      <c r="E248" s="11">
        <v>55533</v>
      </c>
      <c r="F248" s="12">
        <v>3.4980968895245594E-2</v>
      </c>
      <c r="H248" s="26">
        <v>85931.553808371202</v>
      </c>
      <c r="I248" s="26">
        <f t="shared" si="21"/>
        <v>85931.553807910343</v>
      </c>
      <c r="J248" s="27">
        <f t="shared" si="24"/>
        <v>-8.1031057677911651E-3</v>
      </c>
      <c r="P248" s="25">
        <f t="shared" si="22"/>
        <v>85931.553807910343</v>
      </c>
      <c r="Q248" s="32">
        <v>1204.4000000000001</v>
      </c>
      <c r="R248" s="34">
        <f t="shared" si="23"/>
        <v>3.5600000000000076E-2</v>
      </c>
      <c r="T248" s="38">
        <f t="shared" si="25"/>
        <v>-8.2072871795296765E-3</v>
      </c>
      <c r="U248" s="27">
        <f t="shared" si="26"/>
        <v>3.1284374455347042E-3</v>
      </c>
      <c r="W248" s="62">
        <v>43.6</v>
      </c>
      <c r="X248" s="63">
        <f t="shared" si="27"/>
        <v>-2.0432038817205855E-2</v>
      </c>
    </row>
    <row r="249" spans="3:24" x14ac:dyDescent="0.3">
      <c r="C249" s="16">
        <v>37111</v>
      </c>
      <c r="D249" s="11">
        <v>32131.360000000001</v>
      </c>
      <c r="E249" s="11">
        <v>55533</v>
      </c>
      <c r="F249" s="12">
        <v>3.4014878587277621E-2</v>
      </c>
      <c r="H249" s="26">
        <v>85397.91614817387</v>
      </c>
      <c r="I249" s="26">
        <f t="shared" si="21"/>
        <v>85397.916147693613</v>
      </c>
      <c r="J249" s="27">
        <f t="shared" si="24"/>
        <v>-6.2293939974003201E-3</v>
      </c>
      <c r="P249" s="25">
        <f t="shared" si="22"/>
        <v>85397.916147693613</v>
      </c>
      <c r="Q249" s="32">
        <v>1183.53</v>
      </c>
      <c r="R249" s="34">
        <f t="shared" si="23"/>
        <v>3.4599999999999964E-2</v>
      </c>
      <c r="T249" s="38">
        <f t="shared" si="25"/>
        <v>-6.3469546260978005E-3</v>
      </c>
      <c r="U249" s="27">
        <f t="shared" si="26"/>
        <v>-1.7465053266229047E-2</v>
      </c>
      <c r="W249" s="62">
        <v>42.85</v>
      </c>
      <c r="X249" s="63">
        <f t="shared" si="27"/>
        <v>-1.7351505311199875E-2</v>
      </c>
    </row>
    <row r="250" spans="3:24" x14ac:dyDescent="0.3">
      <c r="C250" s="16">
        <v>37112</v>
      </c>
      <c r="D250" s="11">
        <v>32078.880000000001</v>
      </c>
      <c r="E250" s="11">
        <v>55533</v>
      </c>
      <c r="F250" s="12">
        <v>3.4208171329736956E-2</v>
      </c>
      <c r="H250" s="26">
        <v>85333.317012335116</v>
      </c>
      <c r="I250" s="26">
        <f t="shared" si="21"/>
        <v>85333.317011853462</v>
      </c>
      <c r="J250" s="27">
        <f t="shared" si="24"/>
        <v>-7.5673487182900223E-4</v>
      </c>
      <c r="P250" s="25">
        <f t="shared" si="22"/>
        <v>85333.317011853462</v>
      </c>
      <c r="Q250" s="32">
        <v>1183.43</v>
      </c>
      <c r="R250" s="34">
        <f t="shared" si="23"/>
        <v>3.4799999999999942E-2</v>
      </c>
      <c r="T250" s="38">
        <f t="shared" si="25"/>
        <v>-8.8952554330357092E-4</v>
      </c>
      <c r="U250" s="27">
        <f t="shared" si="26"/>
        <v>-2.1756992283183951E-4</v>
      </c>
      <c r="W250" s="62">
        <v>42.78</v>
      </c>
      <c r="X250" s="63">
        <f t="shared" si="27"/>
        <v>-1.6349413895292452E-3</v>
      </c>
    </row>
    <row r="251" spans="3:24" x14ac:dyDescent="0.3">
      <c r="C251" s="16">
        <v>37113</v>
      </c>
      <c r="D251" s="11">
        <v>32101.37</v>
      </c>
      <c r="E251" s="11">
        <v>55533</v>
      </c>
      <c r="F251" s="12">
        <v>3.4401426717332317E-2</v>
      </c>
      <c r="H251" s="26">
        <v>85346.648259796551</v>
      </c>
      <c r="I251" s="26">
        <f t="shared" si="21"/>
        <v>85346.648259315916</v>
      </c>
      <c r="J251" s="27">
        <f t="shared" si="24"/>
        <v>1.5621338412270857E-4</v>
      </c>
      <c r="P251" s="25">
        <f t="shared" si="22"/>
        <v>85346.648259315916</v>
      </c>
      <c r="Q251" s="32">
        <v>1190.1600000000001</v>
      </c>
      <c r="R251" s="34">
        <f t="shared" si="23"/>
        <v>3.499999999999992E-2</v>
      </c>
      <c r="T251" s="38">
        <f t="shared" si="25"/>
        <v>2.2379432235153374E-5</v>
      </c>
      <c r="U251" s="27">
        <f t="shared" si="26"/>
        <v>5.5530132294716594E-3</v>
      </c>
      <c r="W251" s="62">
        <v>42.81</v>
      </c>
      <c r="X251" s="63">
        <f t="shared" si="27"/>
        <v>7.0101650259529551E-4</v>
      </c>
    </row>
    <row r="252" spans="3:24" x14ac:dyDescent="0.3">
      <c r="C252" s="16">
        <v>37116</v>
      </c>
      <c r="D252" s="11">
        <v>31606.46</v>
      </c>
      <c r="E252" s="11">
        <v>55533</v>
      </c>
      <c r="F252" s="12">
        <v>3.3724869401620894E-2</v>
      </c>
      <c r="H252" s="26">
        <v>84866.899439228582</v>
      </c>
      <c r="I252" s="26">
        <f t="shared" si="21"/>
        <v>84866.899438730557</v>
      </c>
      <c r="J252" s="27">
        <f t="shared" si="24"/>
        <v>-5.6370376792594925E-3</v>
      </c>
      <c r="P252" s="25">
        <f t="shared" si="22"/>
        <v>84866.899438730557</v>
      </c>
      <c r="Q252" s="32">
        <v>1191.29</v>
      </c>
      <c r="R252" s="34">
        <f t="shared" si="23"/>
        <v>3.4299999999999997E-2</v>
      </c>
      <c r="T252" s="38">
        <f t="shared" si="25"/>
        <v>-5.7557947791206931E-3</v>
      </c>
      <c r="U252" s="27">
        <f t="shared" si="26"/>
        <v>8.1483678988214514E-4</v>
      </c>
      <c r="W252" s="62">
        <v>42.15</v>
      </c>
      <c r="X252" s="63">
        <f t="shared" si="27"/>
        <v>-1.5537035708990392E-2</v>
      </c>
    </row>
    <row r="253" spans="3:24" x14ac:dyDescent="0.3">
      <c r="C253" s="16">
        <v>37117</v>
      </c>
      <c r="D253" s="11">
        <v>32191.35</v>
      </c>
      <c r="E253" s="11">
        <v>51652</v>
      </c>
      <c r="F253" s="12">
        <v>3.4014878587277621E-2</v>
      </c>
      <c r="H253" s="26">
        <v>81815.934668012924</v>
      </c>
      <c r="I253" s="26">
        <f t="shared" si="21"/>
        <v>81815.934667635665</v>
      </c>
      <c r="J253" s="27">
        <f t="shared" si="24"/>
        <v>-3.6612115274565107E-2</v>
      </c>
      <c r="P253" s="25">
        <f t="shared" si="22"/>
        <v>81815.934667635665</v>
      </c>
      <c r="Q253" s="32">
        <v>1186.73</v>
      </c>
      <c r="R253" s="34">
        <f t="shared" si="23"/>
        <v>3.4599999999999964E-2</v>
      </c>
      <c r="T253" s="38">
        <f t="shared" si="25"/>
        <v>-3.6081919969380816E-2</v>
      </c>
      <c r="U253" s="27">
        <f t="shared" si="26"/>
        <v>-3.9597064042403707E-3</v>
      </c>
      <c r="W253" s="62">
        <v>42.93</v>
      </c>
      <c r="X253" s="63">
        <f t="shared" si="27"/>
        <v>1.8336197788604753E-2</v>
      </c>
    </row>
    <row r="254" spans="3:24" x14ac:dyDescent="0.3">
      <c r="C254" s="16">
        <v>37118</v>
      </c>
      <c r="D254" s="11">
        <v>30181.74</v>
      </c>
      <c r="E254" s="11">
        <v>51652</v>
      </c>
      <c r="F254" s="12">
        <v>3.4111529628767817E-2</v>
      </c>
      <c r="H254" s="26">
        <v>79732.474097359693</v>
      </c>
      <c r="I254" s="26">
        <f t="shared" si="21"/>
        <v>79732.47409692264</v>
      </c>
      <c r="J254" s="27">
        <f t="shared" si="24"/>
        <v>-2.5795068000640044E-2</v>
      </c>
      <c r="P254" s="25">
        <f t="shared" si="22"/>
        <v>79732.47409692264</v>
      </c>
      <c r="Q254" s="32">
        <v>1178.02</v>
      </c>
      <c r="R254" s="34">
        <f t="shared" si="23"/>
        <v>3.4699999999999953E-2</v>
      </c>
      <c r="T254" s="38">
        <f t="shared" si="25"/>
        <v>-2.559829441618211E-2</v>
      </c>
      <c r="U254" s="27">
        <f t="shared" si="26"/>
        <v>-7.4725728488562737E-3</v>
      </c>
      <c r="W254" s="62">
        <v>40.25</v>
      </c>
      <c r="X254" s="63">
        <f t="shared" si="27"/>
        <v>-6.4460878371896846E-2</v>
      </c>
    </row>
    <row r="255" spans="3:24" x14ac:dyDescent="0.3">
      <c r="C255" s="16">
        <v>37119</v>
      </c>
      <c r="D255" s="11">
        <v>27632.22</v>
      </c>
      <c r="E255" s="11">
        <v>51652</v>
      </c>
      <c r="F255" s="12">
        <v>3.3724869401620894E-2</v>
      </c>
      <c r="H255" s="26">
        <v>77090.171893705876</v>
      </c>
      <c r="I255" s="26">
        <f t="shared" si="21"/>
        <v>77090.171893179999</v>
      </c>
      <c r="J255" s="27">
        <f t="shared" si="24"/>
        <v>-3.3701156731154973E-2</v>
      </c>
      <c r="P255" s="25">
        <f t="shared" si="22"/>
        <v>77090.171893179999</v>
      </c>
      <c r="Q255" s="32">
        <v>1181.6600000000001</v>
      </c>
      <c r="R255" s="34">
        <f t="shared" si="23"/>
        <v>3.4299999999999997E-2</v>
      </c>
      <c r="T255" s="38">
        <f t="shared" si="25"/>
        <v>-3.3273060348987249E-2</v>
      </c>
      <c r="U255" s="27">
        <f t="shared" si="26"/>
        <v>2.9564690229890722E-3</v>
      </c>
      <c r="W255" s="62">
        <v>36.85</v>
      </c>
      <c r="X255" s="63">
        <f t="shared" si="27"/>
        <v>-8.8254385229226767E-2</v>
      </c>
    </row>
    <row r="256" spans="3:24" x14ac:dyDescent="0.3">
      <c r="C256" s="16">
        <v>37120</v>
      </c>
      <c r="D256" s="11">
        <v>27497.25</v>
      </c>
      <c r="E256" s="11">
        <v>51652</v>
      </c>
      <c r="F256" s="12">
        <v>3.3821548475510659E-2</v>
      </c>
      <c r="H256" s="26">
        <v>76943.78312966846</v>
      </c>
      <c r="I256" s="26">
        <f t="shared" si="21"/>
        <v>76943.783129137635</v>
      </c>
      <c r="J256" s="27">
        <f t="shared" si="24"/>
        <v>-1.9007342645699545E-3</v>
      </c>
      <c r="P256" s="25">
        <f t="shared" si="22"/>
        <v>76943.783129137635</v>
      </c>
      <c r="Q256" s="32">
        <v>1161.97</v>
      </c>
      <c r="R256" s="34">
        <f t="shared" si="23"/>
        <v>3.4399999999999986E-2</v>
      </c>
      <c r="T256" s="38">
        <f t="shared" si="25"/>
        <v>-2.0308520901467508E-3</v>
      </c>
      <c r="U256" s="27">
        <f t="shared" si="26"/>
        <v>-1.6794922586088168E-2</v>
      </c>
      <c r="W256" s="62">
        <v>36.67</v>
      </c>
      <c r="X256" s="63">
        <f t="shared" si="27"/>
        <v>-4.8966365521109665E-3</v>
      </c>
    </row>
    <row r="257" spans="3:24" x14ac:dyDescent="0.3">
      <c r="C257" s="16">
        <v>37123</v>
      </c>
      <c r="D257" s="11">
        <v>27182.31</v>
      </c>
      <c r="E257" s="11">
        <v>51652</v>
      </c>
      <c r="F257" s="12">
        <v>3.3821548475510659E-2</v>
      </c>
      <c r="H257" s="26">
        <v>76612.666688917758</v>
      </c>
      <c r="I257" s="26">
        <f t="shared" si="21"/>
        <v>76612.666688374899</v>
      </c>
      <c r="J257" s="27">
        <f t="shared" si="24"/>
        <v>-4.3126414337033873E-3</v>
      </c>
      <c r="P257" s="25">
        <f t="shared" si="22"/>
        <v>76612.666688374899</v>
      </c>
      <c r="Q257" s="32">
        <v>1171.4100000000001</v>
      </c>
      <c r="R257" s="34">
        <f t="shared" si="23"/>
        <v>3.4399999999999986E-2</v>
      </c>
      <c r="T257" s="38">
        <f t="shared" si="25"/>
        <v>-4.4356630421090726E-3</v>
      </c>
      <c r="U257" s="27">
        <f t="shared" si="26"/>
        <v>7.9918263214793228E-3</v>
      </c>
      <c r="W257" s="62">
        <v>36.25</v>
      </c>
      <c r="X257" s="63">
        <f t="shared" si="27"/>
        <v>-1.1519600782550907E-2</v>
      </c>
    </row>
    <row r="258" spans="3:24" x14ac:dyDescent="0.3">
      <c r="C258" s="16">
        <v>37124</v>
      </c>
      <c r="D258" s="11">
        <v>27654.71</v>
      </c>
      <c r="E258" s="11">
        <v>51652</v>
      </c>
      <c r="F258" s="12">
        <v>3.3531483208792345E-2</v>
      </c>
      <c r="H258" s="26">
        <v>77123.080788257532</v>
      </c>
      <c r="I258" s="26">
        <f t="shared" si="21"/>
        <v>77123.080787732193</v>
      </c>
      <c r="J258" s="27">
        <f t="shared" si="24"/>
        <v>6.6401729349423143E-3</v>
      </c>
      <c r="P258" s="25">
        <f t="shared" si="22"/>
        <v>77123.080787732193</v>
      </c>
      <c r="Q258" s="32">
        <v>1157.26</v>
      </c>
      <c r="R258" s="34">
        <f t="shared" si="23"/>
        <v>3.4100000000000019E-2</v>
      </c>
      <c r="T258" s="38">
        <f t="shared" si="25"/>
        <v>6.5299600686283821E-3</v>
      </c>
      <c r="U258" s="27">
        <f t="shared" si="26"/>
        <v>-1.2211767488621628E-2</v>
      </c>
      <c r="W258" s="62">
        <v>36.880000000000003</v>
      </c>
      <c r="X258" s="63">
        <f t="shared" si="27"/>
        <v>1.7230017387709354E-2</v>
      </c>
    </row>
    <row r="259" spans="3:24" x14ac:dyDescent="0.3">
      <c r="C259" s="16">
        <v>37125</v>
      </c>
      <c r="D259" s="11">
        <v>27939.66</v>
      </c>
      <c r="E259" s="11">
        <v>51652</v>
      </c>
      <c r="F259" s="12">
        <v>3.3821548475510659E-2</v>
      </c>
      <c r="H259" s="26">
        <v>77408.032728249556</v>
      </c>
      <c r="I259" s="26">
        <f t="shared" si="21"/>
        <v>77408.032727735248</v>
      </c>
      <c r="J259" s="27">
        <f t="shared" si="24"/>
        <v>3.6879597445197208E-3</v>
      </c>
      <c r="P259" s="25">
        <f t="shared" si="22"/>
        <v>77408.032727735248</v>
      </c>
      <c r="Q259" s="32">
        <v>1165.31</v>
      </c>
      <c r="R259" s="34">
        <f t="shared" si="23"/>
        <v>3.4399999999999986E-2</v>
      </c>
      <c r="T259" s="38">
        <f t="shared" si="25"/>
        <v>3.5636147898052695E-3</v>
      </c>
      <c r="U259" s="27">
        <f t="shared" si="26"/>
        <v>6.8249320809496972E-3</v>
      </c>
      <c r="W259" s="62">
        <v>37.26</v>
      </c>
      <c r="X259" s="63">
        <f t="shared" si="27"/>
        <v>1.0250966485049138E-2</v>
      </c>
    </row>
    <row r="260" spans="3:24" x14ac:dyDescent="0.3">
      <c r="C260" s="16">
        <v>37126</v>
      </c>
      <c r="D260" s="11">
        <v>27714.7</v>
      </c>
      <c r="E260" s="11">
        <v>51652</v>
      </c>
      <c r="F260" s="12">
        <v>3.4014878587277621E-2</v>
      </c>
      <c r="H260" s="26">
        <v>77162.797972808214</v>
      </c>
      <c r="I260" s="26">
        <f t="shared" si="21"/>
        <v>77162.797972285873</v>
      </c>
      <c r="J260" s="27">
        <f t="shared" si="24"/>
        <v>-3.1731078896780731E-3</v>
      </c>
      <c r="P260" s="25">
        <f t="shared" si="22"/>
        <v>77162.797972285873</v>
      </c>
      <c r="Q260" s="32">
        <v>1162.0899999999999</v>
      </c>
      <c r="R260" s="34">
        <f t="shared" si="23"/>
        <v>3.4599999999999964E-2</v>
      </c>
      <c r="T260" s="38">
        <f t="shared" si="25"/>
        <v>-3.3003865958489698E-3</v>
      </c>
      <c r="U260" s="27">
        <f t="shared" si="26"/>
        <v>-2.8955209145403726E-3</v>
      </c>
      <c r="W260" s="62">
        <v>36.96</v>
      </c>
      <c r="X260" s="63">
        <f t="shared" si="27"/>
        <v>-8.084118399958911E-3</v>
      </c>
    </row>
    <row r="261" spans="3:24" x14ac:dyDescent="0.3">
      <c r="C261" s="16">
        <v>37127</v>
      </c>
      <c r="D261" s="11">
        <v>27257.29</v>
      </c>
      <c r="E261" s="11">
        <v>51652</v>
      </c>
      <c r="F261" s="12">
        <v>3.3918218203460644E-2</v>
      </c>
      <c r="H261" s="26">
        <v>76686.904511407658</v>
      </c>
      <c r="I261" s="26">
        <f t="shared" ref="I261:I265" si="28">(D261+E261*EXP(-F261*1)*NORMSDIST(Bsd(H261,E261,1,F261,N$4)-N$4))/NORMSDIST(Bsd(H261,E261,1,F261,N$4))</f>
        <v>76686.90451086784</v>
      </c>
      <c r="J261" s="27">
        <f t="shared" si="24"/>
        <v>-6.1864920311873774E-3</v>
      </c>
      <c r="P261" s="25">
        <f t="shared" si="22"/>
        <v>76686.90451086784</v>
      </c>
      <c r="Q261" s="32">
        <v>1184.93</v>
      </c>
      <c r="R261" s="34">
        <f t="shared" si="23"/>
        <v>3.4499999999999975E-2</v>
      </c>
      <c r="T261" s="38">
        <f t="shared" si="25"/>
        <v>-6.3004720140242831E-3</v>
      </c>
      <c r="U261" s="27">
        <f t="shared" si="26"/>
        <v>1.9521166724145056E-2</v>
      </c>
      <c r="W261" s="62">
        <v>36.35</v>
      </c>
      <c r="X261" s="63">
        <f t="shared" si="27"/>
        <v>-1.6642042793954998E-2</v>
      </c>
    </row>
    <row r="262" spans="3:24" x14ac:dyDescent="0.3">
      <c r="C262" s="16">
        <v>37130</v>
      </c>
      <c r="D262" s="11">
        <v>28314.59</v>
      </c>
      <c r="E262" s="11">
        <v>51652</v>
      </c>
      <c r="F262" s="12">
        <v>3.4498040407567356E-2</v>
      </c>
      <c r="H262" s="26">
        <v>77768.116382736232</v>
      </c>
      <c r="I262" s="26">
        <f t="shared" si="28"/>
        <v>77768.116382236607</v>
      </c>
      <c r="J262" s="27">
        <f t="shared" si="24"/>
        <v>1.4000574746687091E-2</v>
      </c>
      <c r="P262" s="25">
        <f t="shared" ref="P262:P266" si="29">+I262</f>
        <v>77768.116382236607</v>
      </c>
      <c r="Q262" s="32">
        <v>1179.21</v>
      </c>
      <c r="R262" s="34">
        <f t="shared" ref="R262:R266" si="30">+EXP(F262)-1</f>
        <v>3.5099999999999909E-2</v>
      </c>
      <c r="T262" s="38">
        <f t="shared" si="25"/>
        <v>1.3966349481320695E-2</v>
      </c>
      <c r="U262" s="27">
        <f t="shared" si="26"/>
        <v>-4.9599816834360322E-3</v>
      </c>
      <c r="W262" s="62">
        <v>37.76</v>
      </c>
      <c r="X262" s="63">
        <f t="shared" si="27"/>
        <v>3.8056137297771457E-2</v>
      </c>
    </row>
    <row r="263" spans="3:24" x14ac:dyDescent="0.3">
      <c r="C263" s="16">
        <v>37131</v>
      </c>
      <c r="D263" s="11">
        <v>28614.53</v>
      </c>
      <c r="E263" s="11">
        <v>51652</v>
      </c>
      <c r="F263" s="12">
        <v>3.4014878587277621E-2</v>
      </c>
      <c r="H263" s="26">
        <v>78105.007722109673</v>
      </c>
      <c r="I263" s="26">
        <f t="shared" si="28"/>
        <v>78105.007721619957</v>
      </c>
      <c r="J263" s="27">
        <f t="shared" ref="J263:J266" si="31">LN(H263/H262)</f>
        <v>4.322642096031358E-3</v>
      </c>
      <c r="P263" s="25">
        <f t="shared" si="29"/>
        <v>78105.007721619957</v>
      </c>
      <c r="Q263" s="32">
        <v>1161.51</v>
      </c>
      <c r="R263" s="34">
        <f t="shared" si="30"/>
        <v>3.4599999999999964E-2</v>
      </c>
      <c r="T263" s="38">
        <f t="shared" ref="T263:T266" si="32">+P263/P262-(1+$R262/260)</f>
        <v>4.196998189688772E-3</v>
      </c>
      <c r="U263" s="27">
        <f t="shared" ref="U263:U266" si="33">+Q263/Q262-(1+$R262/260)</f>
        <v>-1.5145049100669161E-2</v>
      </c>
      <c r="W263" s="62">
        <v>38.159999999999997</v>
      </c>
      <c r="X263" s="63">
        <f t="shared" ref="X263:X266" si="34">+LN(W263/W262)</f>
        <v>1.05375053027857E-2</v>
      </c>
    </row>
    <row r="264" spans="3:24" x14ac:dyDescent="0.3">
      <c r="C264" s="16">
        <v>37132</v>
      </c>
      <c r="D264" s="11">
        <v>27969.65</v>
      </c>
      <c r="E264" s="11">
        <v>51652</v>
      </c>
      <c r="F264" s="12">
        <v>3.3821548475510659E-2</v>
      </c>
      <c r="H264" s="26">
        <v>77439.466854853643</v>
      </c>
      <c r="I264" s="26">
        <f t="shared" si="28"/>
        <v>77439.466854340426</v>
      </c>
      <c r="J264" s="27">
        <f t="shared" si="31"/>
        <v>-8.5576158289000573E-3</v>
      </c>
      <c r="P264" s="25">
        <f t="shared" si="29"/>
        <v>77439.466854340426</v>
      </c>
      <c r="Q264" s="32">
        <v>1148.56</v>
      </c>
      <c r="R264" s="34">
        <f t="shared" si="30"/>
        <v>3.4399999999999986E-2</v>
      </c>
      <c r="T264" s="38">
        <f t="shared" si="32"/>
        <v>-8.6541805845942177E-3</v>
      </c>
      <c r="U264" s="27">
        <f t="shared" si="33"/>
        <v>-1.1282356739867216E-2</v>
      </c>
      <c r="W264" s="62">
        <v>37.299999999999997</v>
      </c>
      <c r="X264" s="63">
        <f t="shared" si="34"/>
        <v>-2.2794519930315896E-2</v>
      </c>
    </row>
    <row r="265" spans="3:24" x14ac:dyDescent="0.3">
      <c r="C265" s="16">
        <v>37133</v>
      </c>
      <c r="D265" s="11">
        <v>26619.919999999998</v>
      </c>
      <c r="E265" s="11">
        <v>51652</v>
      </c>
      <c r="F265" s="12">
        <v>3.3241333779801936E-2</v>
      </c>
      <c r="H265" s="26">
        <v>76047.838738100254</v>
      </c>
      <c r="I265" s="26">
        <f t="shared" si="28"/>
        <v>76047.83873753433</v>
      </c>
      <c r="J265" s="27">
        <f t="shared" si="31"/>
        <v>-1.8133958980797175E-2</v>
      </c>
      <c r="P265" s="25">
        <f t="shared" si="29"/>
        <v>76047.83873753433</v>
      </c>
      <c r="Q265" s="2">
        <v>1129.03</v>
      </c>
      <c r="R265" s="34">
        <f t="shared" si="30"/>
        <v>3.3800000000000052E-2</v>
      </c>
      <c r="T265" s="38">
        <f t="shared" si="32"/>
        <v>-1.8102835813629481E-2</v>
      </c>
      <c r="U265" s="27">
        <f t="shared" si="33"/>
        <v>-1.7136208228631378E-2</v>
      </c>
      <c r="W265" s="62">
        <v>35.5</v>
      </c>
      <c r="X265" s="63">
        <f t="shared" si="34"/>
        <v>-4.9460630168399661E-2</v>
      </c>
    </row>
    <row r="266" spans="3:24" x14ac:dyDescent="0.3">
      <c r="C266" s="17">
        <v>37134</v>
      </c>
      <c r="D266" s="13">
        <v>26237.48</v>
      </c>
      <c r="E266" s="13">
        <v>51652</v>
      </c>
      <c r="F266" s="14">
        <v>3.4111529628767817E-2</v>
      </c>
      <c r="H266" s="26">
        <v>75602.086420681211</v>
      </c>
      <c r="I266" s="29">
        <f>(D266+E266*EXP(-F266*1)*NORMSDIST(Bsd(H266,E266,1,F266,N$4)-N$4))/NORMSDIST(Bsd(H266,E266,1,F266,N$4))</f>
        <v>75602.086420101215</v>
      </c>
      <c r="J266" s="30">
        <f t="shared" si="31"/>
        <v>-5.8787183797600296E-3</v>
      </c>
      <c r="P266" s="28">
        <f t="shared" si="29"/>
        <v>75602.086420101215</v>
      </c>
      <c r="Q266" s="33">
        <v>1133.58</v>
      </c>
      <c r="R266" s="35">
        <f t="shared" si="30"/>
        <v>3.4699999999999953E-2</v>
      </c>
      <c r="T266" s="39">
        <f t="shared" si="32"/>
        <v>-5.9914725261496216E-3</v>
      </c>
      <c r="U266" s="30">
        <f t="shared" si="33"/>
        <v>3.9000080600162246E-3</v>
      </c>
      <c r="W266" s="64">
        <v>34.99</v>
      </c>
      <c r="X266" s="65">
        <f t="shared" si="34"/>
        <v>-1.4470390101773365E-2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79998168889431442"/>
  </sheetPr>
  <dimension ref="C1:L105"/>
  <sheetViews>
    <sheetView workbookViewId="0">
      <selection activeCell="E6" sqref="E6"/>
    </sheetView>
  </sheetViews>
  <sheetFormatPr defaultColWidth="9.109375" defaultRowHeight="14.4" x14ac:dyDescent="0.3"/>
  <cols>
    <col min="1" max="2" width="2.88671875" style="2" customWidth="1"/>
    <col min="3" max="3" width="9.109375" style="2"/>
    <col min="4" max="4" width="21.109375" style="2" customWidth="1"/>
    <col min="5" max="5" width="23.88671875" style="2" customWidth="1"/>
    <col min="6" max="6" width="21.5546875" style="2" bestFit="1" customWidth="1"/>
    <col min="7" max="7" width="10.5546875" style="2" bestFit="1" customWidth="1"/>
    <col min="8" max="16384" width="9.109375" style="2"/>
  </cols>
  <sheetData>
    <row r="1" spans="3:9" s="5" customFormat="1" x14ac:dyDescent="0.3">
      <c r="C1" s="4"/>
      <c r="D1" s="4"/>
      <c r="E1" s="4"/>
      <c r="F1" s="4"/>
      <c r="G1" s="4"/>
      <c r="H1" s="4"/>
    </row>
    <row r="2" spans="3:9" s="5" customFormat="1" ht="23.4" x14ac:dyDescent="0.45">
      <c r="C2" s="1" t="s">
        <v>105</v>
      </c>
      <c r="D2" s="4"/>
      <c r="E2" s="4"/>
      <c r="F2" s="4"/>
      <c r="G2" s="4"/>
      <c r="H2" s="4"/>
    </row>
    <row r="3" spans="3:9" s="5" customFormat="1" ht="7.5" customHeight="1" x14ac:dyDescent="0.3">
      <c r="C3" s="4"/>
      <c r="D3" s="4"/>
      <c r="E3" s="4"/>
      <c r="F3" s="4"/>
      <c r="G3" s="4"/>
      <c r="H3" s="4"/>
    </row>
    <row r="4" spans="3:9" ht="15.6" x14ac:dyDescent="0.3">
      <c r="C4" s="3" t="s">
        <v>18</v>
      </c>
    </row>
    <row r="5" spans="3:9" ht="7.5" customHeight="1" x14ac:dyDescent="0.3"/>
    <row r="6" spans="3:9" x14ac:dyDescent="0.3">
      <c r="D6" s="41" t="s">
        <v>19</v>
      </c>
      <c r="E6" s="44">
        <f>+SLOPE(' Data'!T6:T266,' Data'!U6:U266)</f>
        <v>0.29272367803171961</v>
      </c>
    </row>
    <row r="7" spans="3:9" x14ac:dyDescent="0.3">
      <c r="D7" s="42" t="s">
        <v>20</v>
      </c>
      <c r="E7" s="45">
        <f>+' Data'!R266+E6*0.04</f>
        <v>4.6408947121268737E-2</v>
      </c>
    </row>
    <row r="8" spans="3:9" x14ac:dyDescent="0.3">
      <c r="D8" s="43" t="s">
        <v>21</v>
      </c>
      <c r="E8" s="46">
        <f>+LN(1+E7)</f>
        <v>4.5364252067718373E-2</v>
      </c>
    </row>
    <row r="11" spans="3:9" ht="15.6" x14ac:dyDescent="0.3">
      <c r="C11" s="3" t="s">
        <v>22</v>
      </c>
    </row>
    <row r="12" spans="3:9" ht="7.5" customHeight="1" x14ac:dyDescent="0.3"/>
    <row r="13" spans="3:9" x14ac:dyDescent="0.3">
      <c r="D13" s="112" t="s">
        <v>23</v>
      </c>
      <c r="E13" s="48" t="s">
        <v>29</v>
      </c>
      <c r="F13" s="55">
        <v>72377</v>
      </c>
      <c r="I13" s="55">
        <f>+F33</f>
        <v>76146.052155986501</v>
      </c>
    </row>
    <row r="14" spans="3:9" x14ac:dyDescent="0.3">
      <c r="D14" s="113"/>
      <c r="E14" s="49" t="s">
        <v>10</v>
      </c>
      <c r="F14" s="56">
        <v>0.28470000000000001</v>
      </c>
      <c r="I14" s="56">
        <f>+F34</f>
        <v>0.15776542301109672</v>
      </c>
    </row>
    <row r="15" spans="3:9" x14ac:dyDescent="0.3">
      <c r="D15" s="110"/>
      <c r="E15" s="50" t="s">
        <v>28</v>
      </c>
      <c r="F15" s="57">
        <v>4.2999999999999997E-2</v>
      </c>
      <c r="I15" s="96">
        <f>+F15</f>
        <v>4.2999999999999997E-2</v>
      </c>
    </row>
    <row r="16" spans="3:9" x14ac:dyDescent="0.3">
      <c r="D16" s="53"/>
    </row>
    <row r="17" spans="3:9" x14ac:dyDescent="0.3">
      <c r="D17" s="54" t="s">
        <v>24</v>
      </c>
      <c r="E17" s="51" t="s">
        <v>30</v>
      </c>
      <c r="F17" s="58">
        <v>59877</v>
      </c>
      <c r="G17" s="26">
        <f>+F17-G18</f>
        <v>42321</v>
      </c>
      <c r="I17" s="58">
        <f>+F29</f>
        <v>59877</v>
      </c>
    </row>
    <row r="18" spans="3:9" x14ac:dyDescent="0.3">
      <c r="D18" s="53"/>
      <c r="G18" s="97">
        <v>17556</v>
      </c>
    </row>
    <row r="19" spans="3:9" ht="15" customHeight="1" x14ac:dyDescent="0.3">
      <c r="D19" s="107" t="s">
        <v>25</v>
      </c>
      <c r="E19" s="48" t="s">
        <v>26</v>
      </c>
      <c r="F19" s="59">
        <f>+(LN(F13)+(F15-F14^2/2)-LN(F17))/F14</f>
        <v>0.67463669219125333</v>
      </c>
      <c r="I19" s="59">
        <f>+(LN(I13)+(I15-I14^2/2)-LN(I17))/I14</f>
        <v>1.7172065170392101</v>
      </c>
    </row>
    <row r="20" spans="3:9" x14ac:dyDescent="0.3">
      <c r="D20" s="109"/>
      <c r="E20" s="50" t="s">
        <v>27</v>
      </c>
      <c r="F20" s="60">
        <f>+NORMSDIST(-F19)</f>
        <v>0.24995330759045992</v>
      </c>
      <c r="I20" s="60">
        <f>+NORMSDIST(-I19)</f>
        <v>4.297072261233479E-2</v>
      </c>
    </row>
    <row r="23" spans="3:9" ht="15.6" x14ac:dyDescent="0.3">
      <c r="C23" s="3" t="s">
        <v>33</v>
      </c>
    </row>
    <row r="24" spans="3:9" ht="7.5" customHeight="1" x14ac:dyDescent="0.3"/>
    <row r="25" spans="3:9" x14ac:dyDescent="0.3">
      <c r="D25" s="121" t="s">
        <v>34</v>
      </c>
      <c r="E25" s="122"/>
      <c r="F25" s="66">
        <f>+STDEV(' Data'!X6:X266)*260^0.5</f>
        <v>0.4565247761282778</v>
      </c>
    </row>
    <row r="27" spans="3:9" x14ac:dyDescent="0.3">
      <c r="D27" s="112" t="s">
        <v>38</v>
      </c>
      <c r="E27" s="48" t="s">
        <v>35</v>
      </c>
      <c r="F27" s="55">
        <f>+' Data'!D266</f>
        <v>26237.48</v>
      </c>
    </row>
    <row r="28" spans="3:9" x14ac:dyDescent="0.3">
      <c r="D28" s="113"/>
      <c r="E28" s="49" t="s">
        <v>36</v>
      </c>
      <c r="F28" s="56">
        <f>+F25</f>
        <v>0.4565247761282778</v>
      </c>
    </row>
    <row r="29" spans="3:9" x14ac:dyDescent="0.3">
      <c r="D29" s="113"/>
      <c r="E29" s="49" t="s">
        <v>30</v>
      </c>
      <c r="F29" s="68">
        <f>+F17</f>
        <v>59877</v>
      </c>
    </row>
    <row r="30" spans="3:9" x14ac:dyDescent="0.3">
      <c r="D30" s="113"/>
      <c r="E30" s="49" t="s">
        <v>13</v>
      </c>
      <c r="F30" s="69">
        <f>+' Data'!F266</f>
        <v>3.4111529628767817E-2</v>
      </c>
    </row>
    <row r="31" spans="3:9" x14ac:dyDescent="0.3">
      <c r="D31" s="110"/>
      <c r="E31" s="50" t="s">
        <v>37</v>
      </c>
      <c r="F31" s="22">
        <v>1</v>
      </c>
    </row>
    <row r="33" spans="3:12" x14ac:dyDescent="0.3">
      <c r="D33" s="107" t="s">
        <v>41</v>
      </c>
      <c r="E33" s="48" t="s">
        <v>39</v>
      </c>
      <c r="F33" s="55">
        <v>76146.052155986501</v>
      </c>
      <c r="G33" s="40" t="s">
        <v>42</v>
      </c>
    </row>
    <row r="34" spans="3:12" x14ac:dyDescent="0.3">
      <c r="D34" s="109"/>
      <c r="E34" s="50" t="s">
        <v>40</v>
      </c>
      <c r="F34" s="60">
        <v>0.15776542301109672</v>
      </c>
      <c r="G34" s="40" t="s">
        <v>43</v>
      </c>
    </row>
    <row r="36" spans="3:12" ht="15.75" customHeight="1" x14ac:dyDescent="0.35">
      <c r="D36" s="107" t="s">
        <v>44</v>
      </c>
      <c r="E36" s="48" t="s">
        <v>45</v>
      </c>
      <c r="F36" s="59">
        <f>+(LN(F33/F29)+(F30+F34^2/2)*F31)/(F34*F31^0.5)</f>
        <v>1.81863215277888</v>
      </c>
    </row>
    <row r="37" spans="3:12" ht="15.6" x14ac:dyDescent="0.35">
      <c r="D37" s="108"/>
      <c r="E37" s="49" t="s">
        <v>46</v>
      </c>
      <c r="F37" s="70">
        <f>+F36-F34*F31^0.5</f>
        <v>1.6608667297677833</v>
      </c>
    </row>
    <row r="38" spans="3:12" x14ac:dyDescent="0.3">
      <c r="D38" s="108"/>
      <c r="E38" s="49" t="s">
        <v>35</v>
      </c>
      <c r="F38" s="71">
        <f>+F33*NORMSDIST(F36)-F29*EXP(-F30*F31)*NORMSDIST(F37)</f>
        <v>18450.427807503846</v>
      </c>
    </row>
    <row r="39" spans="3:12" ht="15.75" customHeight="1" x14ac:dyDescent="0.3">
      <c r="D39" s="109"/>
      <c r="E39" s="50" t="s">
        <v>36</v>
      </c>
      <c r="F39" s="60">
        <f>+(F33/F38)*F34*NORMSDIST(F36)</f>
        <v>0.6286549646708286</v>
      </c>
    </row>
    <row r="41" spans="3:12" x14ac:dyDescent="0.3">
      <c r="D41" s="114" t="s">
        <v>47</v>
      </c>
      <c r="E41" s="115"/>
      <c r="F41" s="72">
        <f>+(F38/F27-1)^2+(F39/F28-1)^2</f>
        <v>0.23024760300039435</v>
      </c>
      <c r="G41" s="40" t="s">
        <v>63</v>
      </c>
    </row>
    <row r="44" spans="3:12" ht="15.6" x14ac:dyDescent="0.3">
      <c r="C44" s="3" t="s">
        <v>48</v>
      </c>
    </row>
    <row r="45" spans="3:12" ht="7.5" customHeight="1" x14ac:dyDescent="0.3"/>
    <row r="46" spans="3:12" x14ac:dyDescent="0.3">
      <c r="D46" s="112" t="s">
        <v>38</v>
      </c>
      <c r="E46" s="48" t="s">
        <v>35</v>
      </c>
      <c r="F46" s="73">
        <f>+F38</f>
        <v>18450.427807503846</v>
      </c>
      <c r="I46" s="118" t="s">
        <v>55</v>
      </c>
      <c r="J46" s="52" t="s">
        <v>54</v>
      </c>
      <c r="K46" s="81" t="s">
        <v>98</v>
      </c>
      <c r="L46" s="82" t="s">
        <v>99</v>
      </c>
    </row>
    <row r="47" spans="3:12" x14ac:dyDescent="0.3">
      <c r="D47" s="113"/>
      <c r="E47" s="49" t="s">
        <v>36</v>
      </c>
      <c r="F47" s="56">
        <f>+F39</f>
        <v>0.6286549646708286</v>
      </c>
      <c r="I47" s="119"/>
      <c r="J47" s="76">
        <v>1</v>
      </c>
      <c r="K47" s="79">
        <f>+(J47&lt;=F$50)*F$52*(1+F$53)^J47*EXP(F$49*(F$50-J47))</f>
        <v>464.08682856148954</v>
      </c>
      <c r="L47" s="80">
        <f>+(J47&lt;=F$50)*F$51*F$48*EXP(F$49*(F$50-J47))</f>
        <v>2932.4743598328732</v>
      </c>
    </row>
    <row r="48" spans="3:12" x14ac:dyDescent="0.3">
      <c r="D48" s="113"/>
      <c r="E48" s="49" t="s">
        <v>30</v>
      </c>
      <c r="F48" s="68">
        <f>+F29</f>
        <v>59877</v>
      </c>
      <c r="I48" s="119"/>
      <c r="J48" s="77">
        <v>2</v>
      </c>
      <c r="K48" s="83">
        <f t="shared" ref="K48:K56" si="0">+(J48&lt;=F$50)*F$52*(1+F$53)^J48*EXP(F$49*(F$50-J48))</f>
        <v>457.11909096139829</v>
      </c>
      <c r="L48" s="84">
        <f t="shared" ref="L48:L56" si="1">+(J48&lt;=F$50)*F$51*F$48*EXP(F$49*(F$50-J48))</f>
        <v>2804.3170697455034</v>
      </c>
    </row>
    <row r="49" spans="4:12" x14ac:dyDescent="0.3">
      <c r="D49" s="113"/>
      <c r="E49" s="49" t="s">
        <v>13</v>
      </c>
      <c r="F49" s="74">
        <f>LN(1.0457)</f>
        <v>4.4686517622406094E-2</v>
      </c>
      <c r="I49" s="119"/>
      <c r="J49" s="77">
        <v>3</v>
      </c>
      <c r="K49" s="83">
        <f t="shared" si="0"/>
        <v>450.25596604211552</v>
      </c>
      <c r="L49" s="84">
        <f t="shared" si="1"/>
        <v>2681.7606098742503</v>
      </c>
    </row>
    <row r="50" spans="4:12" x14ac:dyDescent="0.3">
      <c r="D50" s="113"/>
      <c r="E50" s="49" t="s">
        <v>37</v>
      </c>
      <c r="F50" s="67">
        <v>5.53</v>
      </c>
      <c r="I50" s="119"/>
      <c r="J50" s="77">
        <v>4</v>
      </c>
      <c r="K50" s="83">
        <f t="shared" si="0"/>
        <v>443.49588316283723</v>
      </c>
      <c r="L50" s="84">
        <f t="shared" si="1"/>
        <v>2564.5602083525387</v>
      </c>
    </row>
    <row r="51" spans="4:12" x14ac:dyDescent="0.3">
      <c r="D51" s="113"/>
      <c r="E51" s="49" t="s">
        <v>49</v>
      </c>
      <c r="F51" s="75">
        <v>0.04</v>
      </c>
      <c r="I51" s="119"/>
      <c r="J51" s="77">
        <v>5</v>
      </c>
      <c r="K51" s="83">
        <f t="shared" si="0"/>
        <v>436.83729526415055</v>
      </c>
      <c r="L51" s="84">
        <f t="shared" si="1"/>
        <v>2452.4817905255222</v>
      </c>
    </row>
    <row r="52" spans="4:12" ht="15.75" customHeight="1" x14ac:dyDescent="0.3">
      <c r="D52" s="113"/>
      <c r="E52" s="49" t="s">
        <v>50</v>
      </c>
      <c r="F52" s="68">
        <v>368</v>
      </c>
      <c r="I52" s="119"/>
      <c r="J52" s="77">
        <v>6</v>
      </c>
      <c r="K52" s="83">
        <f t="shared" si="0"/>
        <v>0</v>
      </c>
      <c r="L52" s="84">
        <f t="shared" si="1"/>
        <v>0</v>
      </c>
    </row>
    <row r="53" spans="4:12" x14ac:dyDescent="0.3">
      <c r="D53" s="113"/>
      <c r="E53" s="49" t="s">
        <v>51</v>
      </c>
      <c r="F53" s="75">
        <v>0.03</v>
      </c>
      <c r="I53" s="119"/>
      <c r="J53" s="77">
        <v>7</v>
      </c>
      <c r="K53" s="83">
        <f t="shared" si="0"/>
        <v>0</v>
      </c>
      <c r="L53" s="84">
        <f t="shared" si="1"/>
        <v>0</v>
      </c>
    </row>
    <row r="54" spans="4:12" x14ac:dyDescent="0.3">
      <c r="D54" s="113"/>
      <c r="E54" s="49" t="s">
        <v>53</v>
      </c>
      <c r="F54" s="71">
        <f>+SUM(K47:K56)</f>
        <v>2251.7950639919914</v>
      </c>
      <c r="I54" s="119"/>
      <c r="J54" s="77">
        <v>8</v>
      </c>
      <c r="K54" s="83">
        <f t="shared" si="0"/>
        <v>0</v>
      </c>
      <c r="L54" s="84">
        <f t="shared" si="1"/>
        <v>0</v>
      </c>
    </row>
    <row r="55" spans="4:12" x14ac:dyDescent="0.3">
      <c r="D55" s="110"/>
      <c r="E55" s="50" t="s">
        <v>52</v>
      </c>
      <c r="F55" s="87">
        <f>+SUM(L47:L56)</f>
        <v>13435.594038330688</v>
      </c>
      <c r="I55" s="119"/>
      <c r="J55" s="77">
        <v>9</v>
      </c>
      <c r="K55" s="83">
        <f t="shared" si="0"/>
        <v>0</v>
      </c>
      <c r="L55" s="84">
        <f t="shared" si="1"/>
        <v>0</v>
      </c>
    </row>
    <row r="56" spans="4:12" x14ac:dyDescent="0.3">
      <c r="I56" s="120"/>
      <c r="J56" s="78">
        <v>10</v>
      </c>
      <c r="K56" s="85">
        <f t="shared" si="0"/>
        <v>0</v>
      </c>
      <c r="L56" s="86">
        <f t="shared" si="1"/>
        <v>0</v>
      </c>
    </row>
    <row r="58" spans="4:12" x14ac:dyDescent="0.3">
      <c r="D58" s="107" t="s">
        <v>41</v>
      </c>
      <c r="E58" s="48" t="s">
        <v>39</v>
      </c>
      <c r="F58" s="55">
        <v>74467.040959716309</v>
      </c>
      <c r="G58" s="40" t="s">
        <v>56</v>
      </c>
    </row>
    <row r="59" spans="4:12" x14ac:dyDescent="0.3">
      <c r="D59" s="109"/>
      <c r="E59" s="50" t="s">
        <v>40</v>
      </c>
      <c r="F59" s="60">
        <v>0.18708695776256112</v>
      </c>
      <c r="G59" s="40" t="s">
        <v>57</v>
      </c>
    </row>
    <row r="61" spans="4:12" ht="15" customHeight="1" x14ac:dyDescent="0.3">
      <c r="D61" s="107" t="s">
        <v>44</v>
      </c>
      <c r="E61" s="48" t="s">
        <v>58</v>
      </c>
      <c r="F61" s="59">
        <f>+(LN(F58/(F48+F54+F55))+(F49+F59^2/2)*F50)/(F59*F50^0.5)</f>
        <v>0.74841476988204447</v>
      </c>
    </row>
    <row r="62" spans="4:12" x14ac:dyDescent="0.3">
      <c r="D62" s="108"/>
      <c r="E62" s="49" t="s">
        <v>59</v>
      </c>
      <c r="F62" s="70">
        <f>+F61-F59*F50^0.5</f>
        <v>0.30846197741491815</v>
      </c>
    </row>
    <row r="63" spans="4:12" x14ac:dyDescent="0.3">
      <c r="D63" s="108"/>
      <c r="E63" s="49" t="s">
        <v>60</v>
      </c>
      <c r="F63" s="70">
        <f>+(LN(F58/(F54+F55))+(F49+F59^2/2)*F50)/(F59*F50^0.5)</f>
        <v>4.3218162979894608</v>
      </c>
    </row>
    <row r="64" spans="4:12" x14ac:dyDescent="0.3">
      <c r="D64" s="108"/>
      <c r="E64" s="49" t="s">
        <v>61</v>
      </c>
      <c r="F64" s="70">
        <f>+F63-F50^0.5</f>
        <v>1.9702210947284913</v>
      </c>
    </row>
    <row r="65" spans="3:7" x14ac:dyDescent="0.3">
      <c r="D65" s="108"/>
      <c r="E65" s="49" t="s">
        <v>35</v>
      </c>
      <c r="F65" s="71">
        <f>+F58*NORMSDIST(F61)-(F48+F54+F55)*EXP(-F49*F50)*NORMSDIST(F62)+F54/(F54+F55)*(F58-F58*NORMSDIST(F63)+EXP(-F49*F50)*(F54+F55)*NORMSDIST(F64))</f>
        <v>22612.042772742941</v>
      </c>
    </row>
    <row r="66" spans="3:7" x14ac:dyDescent="0.3">
      <c r="D66" s="109"/>
      <c r="E66" s="50" t="s">
        <v>36</v>
      </c>
      <c r="F66" s="60">
        <f>+F59*F58/F65*(NORMSDIST(F61)+F54/(F54+F55)*(1-NORMSDIST(F63)))</f>
        <v>0.47619949319112703</v>
      </c>
    </row>
    <row r="68" spans="3:7" x14ac:dyDescent="0.3">
      <c r="D68" s="114" t="s">
        <v>47</v>
      </c>
      <c r="E68" s="115"/>
      <c r="F68" s="72">
        <f>+(F65/F46-1)^2+(F66/F47-1)^2</f>
        <v>0.10968713501362745</v>
      </c>
      <c r="G68" s="40" t="s">
        <v>62</v>
      </c>
    </row>
    <row r="70" spans="3:7" x14ac:dyDescent="0.3">
      <c r="D70" s="112" t="s">
        <v>64</v>
      </c>
      <c r="E70" s="116"/>
      <c r="F70" s="23">
        <f>+NORMSDIST(-(LN(F58/(F48+F54+F55))+(0.045-F59^2/2)*F50)/(F59*F50^0.5))</f>
        <v>0.37736739991455526</v>
      </c>
    </row>
    <row r="71" spans="3:7" x14ac:dyDescent="0.3">
      <c r="D71" s="113" t="s">
        <v>65</v>
      </c>
      <c r="E71" s="117"/>
      <c r="F71" s="74">
        <f>+((F55+F48)/(F58-F46))^(1/F50)-1</f>
        <v>4.986225417957546E-2</v>
      </c>
    </row>
    <row r="72" spans="3:7" x14ac:dyDescent="0.3">
      <c r="D72" s="110" t="s">
        <v>66</v>
      </c>
      <c r="E72" s="111"/>
      <c r="F72" s="88">
        <f>+F71-EXP(F49)+1</f>
        <v>4.1622541795753865E-3</v>
      </c>
    </row>
    <row r="75" spans="3:7" ht="15.6" x14ac:dyDescent="0.3">
      <c r="C75" s="3" t="s">
        <v>67</v>
      </c>
    </row>
    <row r="76" spans="3:7" ht="7.5" customHeight="1" x14ac:dyDescent="0.3"/>
    <row r="77" spans="3:7" x14ac:dyDescent="0.3">
      <c r="D77" s="107" t="s">
        <v>70</v>
      </c>
      <c r="E77" s="48" t="s">
        <v>68</v>
      </c>
      <c r="F77" s="89">
        <v>0.5</v>
      </c>
    </row>
    <row r="78" spans="3:7" x14ac:dyDescent="0.3">
      <c r="D78" s="108"/>
      <c r="E78" s="49" t="s">
        <v>71</v>
      </c>
      <c r="F78" s="75">
        <v>0.3</v>
      </c>
    </row>
    <row r="79" spans="3:7" x14ac:dyDescent="0.3">
      <c r="D79" s="109"/>
      <c r="E79" s="50" t="s">
        <v>69</v>
      </c>
      <c r="F79" s="22">
        <v>1</v>
      </c>
    </row>
    <row r="81" spans="4:6" x14ac:dyDescent="0.3">
      <c r="D81" s="112" t="s">
        <v>83</v>
      </c>
      <c r="E81" s="48" t="s">
        <v>72</v>
      </c>
      <c r="F81" s="90">
        <v>78.75</v>
      </c>
    </row>
    <row r="82" spans="4:6" x14ac:dyDescent="0.3">
      <c r="D82" s="113"/>
      <c r="E82" s="49" t="s">
        <v>73</v>
      </c>
      <c r="F82" s="91">
        <v>774.42600000000004</v>
      </c>
    </row>
    <row r="83" spans="4:6" x14ac:dyDescent="0.3">
      <c r="D83" s="113"/>
      <c r="E83" s="49" t="s">
        <v>74</v>
      </c>
      <c r="F83" s="91">
        <v>215.76599999999999</v>
      </c>
    </row>
    <row r="84" spans="4:6" x14ac:dyDescent="0.3">
      <c r="D84" s="113"/>
      <c r="E84" s="49" t="s">
        <v>75</v>
      </c>
      <c r="F84" s="91">
        <v>359.81299999999999</v>
      </c>
    </row>
    <row r="85" spans="4:6" x14ac:dyDescent="0.3">
      <c r="D85" s="113"/>
      <c r="E85" s="49" t="s">
        <v>76</v>
      </c>
      <c r="F85" s="91">
        <v>0</v>
      </c>
    </row>
    <row r="86" spans="4:6" x14ac:dyDescent="0.3">
      <c r="D86" s="113"/>
      <c r="E86" s="49" t="s">
        <v>77</v>
      </c>
      <c r="F86" s="91">
        <v>0</v>
      </c>
    </row>
    <row r="87" spans="4:6" x14ac:dyDescent="0.3">
      <c r="D87" s="113"/>
      <c r="E87" s="49" t="s">
        <v>78</v>
      </c>
      <c r="F87" s="92">
        <f>+F81+F82+0.5*(F83+F84)</f>
        <v>1140.9655</v>
      </c>
    </row>
    <row r="88" spans="4:6" x14ac:dyDescent="0.3">
      <c r="D88" s="113"/>
      <c r="E88" s="49" t="s">
        <v>79</v>
      </c>
      <c r="F88" s="92">
        <f>+F87-MIN(0.5*F87,F86)</f>
        <v>1140.9655</v>
      </c>
    </row>
    <row r="89" spans="4:6" x14ac:dyDescent="0.3">
      <c r="D89" s="110"/>
      <c r="E89" s="50" t="s">
        <v>85</v>
      </c>
      <c r="F89" s="93">
        <f>+F88/F95</f>
        <v>19.414298018088296</v>
      </c>
    </row>
    <row r="91" spans="4:6" x14ac:dyDescent="0.3">
      <c r="D91" s="112" t="s">
        <v>84</v>
      </c>
      <c r="E91" s="48" t="s">
        <v>86</v>
      </c>
      <c r="F91" s="90">
        <v>2461.2600000000002</v>
      </c>
    </row>
    <row r="92" spans="4:6" x14ac:dyDescent="0.3">
      <c r="D92" s="113"/>
      <c r="E92" s="49" t="s">
        <v>87</v>
      </c>
      <c r="F92" s="91">
        <v>41.88</v>
      </c>
    </row>
    <row r="93" spans="4:6" x14ac:dyDescent="0.3">
      <c r="D93" s="113"/>
      <c r="E93" s="49" t="s">
        <v>88</v>
      </c>
      <c r="F93" s="92">
        <f>+F91/F92</f>
        <v>58.769340974212035</v>
      </c>
    </row>
    <row r="94" spans="4:6" x14ac:dyDescent="0.3">
      <c r="D94" s="113"/>
      <c r="E94" s="49" t="s">
        <v>89</v>
      </c>
      <c r="F94" s="91">
        <f>+(IF(F86&gt;0,MIN(0.5*F93,F91/F85),0))</f>
        <v>0</v>
      </c>
    </row>
    <row r="95" spans="4:6" x14ac:dyDescent="0.3">
      <c r="D95" s="113"/>
      <c r="E95" s="49" t="s">
        <v>90</v>
      </c>
      <c r="F95" s="92">
        <f>+F93+F94</f>
        <v>58.769340974212035</v>
      </c>
    </row>
    <row r="96" spans="4:6" x14ac:dyDescent="0.3">
      <c r="D96" s="113"/>
      <c r="E96" s="49" t="s">
        <v>80</v>
      </c>
      <c r="F96" s="75">
        <v>0.3</v>
      </c>
    </row>
    <row r="97" spans="4:6" x14ac:dyDescent="0.3">
      <c r="D97" s="113"/>
      <c r="E97" s="49" t="s">
        <v>81</v>
      </c>
      <c r="F97" s="75">
        <v>0.33</v>
      </c>
    </row>
    <row r="98" spans="4:6" x14ac:dyDescent="0.3">
      <c r="D98" s="113"/>
      <c r="E98" s="49" t="s">
        <v>82</v>
      </c>
      <c r="F98" s="75">
        <v>0.33</v>
      </c>
    </row>
    <row r="99" spans="4:6" x14ac:dyDescent="0.3">
      <c r="D99" s="110"/>
      <c r="E99" s="50" t="s">
        <v>91</v>
      </c>
      <c r="F99" s="88">
        <v>2.93E-2</v>
      </c>
    </row>
    <row r="101" spans="4:6" ht="15" customHeight="1" x14ac:dyDescent="0.3">
      <c r="D101" s="107" t="s">
        <v>97</v>
      </c>
      <c r="E101" s="48" t="s">
        <v>92</v>
      </c>
      <c r="F101" s="59">
        <f>+F92+F77*F89</f>
        <v>51.587149009044154</v>
      </c>
    </row>
    <row r="102" spans="4:6" x14ac:dyDescent="0.3">
      <c r="D102" s="108"/>
      <c r="E102" s="49" t="s">
        <v>93</v>
      </c>
      <c r="F102" s="70">
        <f>+(F101*EXP(F78^2))/(F77*F89)</f>
        <v>5.8148207844316335</v>
      </c>
    </row>
    <row r="103" spans="4:6" x14ac:dyDescent="0.3">
      <c r="D103" s="108"/>
      <c r="E103" s="49" t="s">
        <v>94</v>
      </c>
      <c r="F103" s="70">
        <f>+(((F98*F92)/(F101))^2*F79+F78^2)^0.5</f>
        <v>0.40220954259672925</v>
      </c>
    </row>
    <row r="104" spans="4:6" x14ac:dyDescent="0.3">
      <c r="D104" s="108"/>
      <c r="E104" s="49" t="s">
        <v>95</v>
      </c>
      <c r="F104" s="94">
        <f>+NORMSDIST(-(F103/2)+(LN(F102)/F103))-F102*NORMSDIST(-(F103/2)-(LN(F102)/F103))</f>
        <v>0.99997149753668579</v>
      </c>
    </row>
    <row r="105" spans="4:6" x14ac:dyDescent="0.3">
      <c r="D105" s="109"/>
      <c r="E105" s="50" t="s">
        <v>96</v>
      </c>
      <c r="F105" s="95">
        <f>1-F104</f>
        <v>2.8502463314206139E-5</v>
      </c>
    </row>
  </sheetData>
  <mergeCells count="19">
    <mergeCell ref="D13:D15"/>
    <mergeCell ref="D25:E25"/>
    <mergeCell ref="D27:D31"/>
    <mergeCell ref="D33:D34"/>
    <mergeCell ref="D36:D39"/>
    <mergeCell ref="D41:E41"/>
    <mergeCell ref="D46:D55"/>
    <mergeCell ref="I46:I56"/>
    <mergeCell ref="D19:D20"/>
    <mergeCell ref="D58:D59"/>
    <mergeCell ref="D101:D105"/>
    <mergeCell ref="D72:E72"/>
    <mergeCell ref="D77:D79"/>
    <mergeCell ref="D81:D89"/>
    <mergeCell ref="D61:D66"/>
    <mergeCell ref="D68:E68"/>
    <mergeCell ref="D70:E70"/>
    <mergeCell ref="D71:E71"/>
    <mergeCell ref="D91:D99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C239D-5966-4166-8830-0B9EDD6F365A}">
  <dimension ref="A1:R254"/>
  <sheetViews>
    <sheetView workbookViewId="0">
      <selection activeCell="A3" sqref="A3:A253"/>
    </sheetView>
  </sheetViews>
  <sheetFormatPr defaultRowHeight="14.4" x14ac:dyDescent="0.3"/>
  <cols>
    <col min="1" max="1" width="10.5546875" bestFit="1" customWidth="1"/>
    <col min="6" max="6" width="12.33203125" customWidth="1"/>
    <col min="9" max="9" width="10.21875" bestFit="1" customWidth="1"/>
    <col min="11" max="11" width="12.5546875" bestFit="1" customWidth="1"/>
    <col min="12" max="12" width="6.44140625" bestFit="1" customWidth="1"/>
    <col min="14" max="14" width="10.21875" bestFit="1" customWidth="1"/>
    <col min="15" max="15" width="8.109375" bestFit="1" customWidth="1"/>
    <col min="17" max="17" width="10.5546875" bestFit="1" customWidth="1"/>
  </cols>
  <sheetData>
    <row r="1" spans="1:18" x14ac:dyDescent="0.3">
      <c r="A1" s="104" t="s">
        <v>114</v>
      </c>
      <c r="K1" s="103" t="s">
        <v>112</v>
      </c>
      <c r="L1" s="102"/>
      <c r="Q1" s="123" t="s">
        <v>14</v>
      </c>
      <c r="R1" s="124"/>
    </row>
    <row r="2" spans="1:18" x14ac:dyDescent="0.3">
      <c r="A2" t="s">
        <v>5</v>
      </c>
      <c r="B2" t="s">
        <v>109</v>
      </c>
      <c r="C2" t="s">
        <v>108</v>
      </c>
      <c r="D2" t="s">
        <v>111</v>
      </c>
      <c r="E2" t="s">
        <v>106</v>
      </c>
      <c r="K2" s="101" t="s">
        <v>110</v>
      </c>
      <c r="L2" s="101" t="s">
        <v>109</v>
      </c>
      <c r="M2" t="s">
        <v>108</v>
      </c>
      <c r="N2" t="s">
        <v>107</v>
      </c>
      <c r="O2" t="s">
        <v>106</v>
      </c>
      <c r="Q2" t="s">
        <v>5</v>
      </c>
      <c r="R2" t="s">
        <v>113</v>
      </c>
    </row>
    <row r="3" spans="1:18" x14ac:dyDescent="0.3">
      <c r="A3" s="99">
        <v>44200</v>
      </c>
      <c r="B3">
        <v>107.660004</v>
      </c>
      <c r="C3">
        <v>1178</v>
      </c>
      <c r="D3">
        <f t="shared" ref="D3:D66" si="0">B3*C3</f>
        <v>126823.484712</v>
      </c>
      <c r="E3" s="100">
        <v>36026</v>
      </c>
      <c r="K3" s="106">
        <v>44200</v>
      </c>
      <c r="L3" s="98">
        <v>522.86</v>
      </c>
      <c r="M3">
        <v>443</v>
      </c>
      <c r="N3">
        <f t="shared" ref="N3:N66" si="1">L3*M3</f>
        <v>231626.98</v>
      </c>
      <c r="O3">
        <v>27239</v>
      </c>
      <c r="Q3" s="99">
        <v>44561</v>
      </c>
      <c r="R3" s="105">
        <v>4766.18</v>
      </c>
    </row>
    <row r="4" spans="1:18" x14ac:dyDescent="0.3">
      <c r="A4" s="99">
        <v>44201</v>
      </c>
      <c r="B4">
        <v>102.91999800000001</v>
      </c>
      <c r="C4">
        <v>1178</v>
      </c>
      <c r="D4">
        <f t="shared" si="0"/>
        <v>121239.75764400001</v>
      </c>
      <c r="E4" s="100">
        <v>36026</v>
      </c>
      <c r="K4" s="106">
        <v>44201</v>
      </c>
      <c r="L4" s="98">
        <v>520.79999999999995</v>
      </c>
      <c r="M4">
        <v>443</v>
      </c>
      <c r="N4">
        <f t="shared" si="1"/>
        <v>230714.4</v>
      </c>
      <c r="O4">
        <v>27239</v>
      </c>
      <c r="Q4" s="99">
        <v>44560</v>
      </c>
      <c r="R4" s="105">
        <v>4778.7299999999996</v>
      </c>
    </row>
    <row r="5" spans="1:18" x14ac:dyDescent="0.3">
      <c r="A5" s="99">
        <v>44202</v>
      </c>
      <c r="B5">
        <v>102.989998</v>
      </c>
      <c r="C5">
        <v>1178</v>
      </c>
      <c r="D5">
        <f t="shared" si="0"/>
        <v>121322.217644</v>
      </c>
      <c r="E5" s="100">
        <v>36026</v>
      </c>
      <c r="K5" s="106">
        <v>44202</v>
      </c>
      <c r="L5" s="98">
        <v>500.49</v>
      </c>
      <c r="M5">
        <v>443</v>
      </c>
      <c r="N5">
        <f t="shared" si="1"/>
        <v>221717.07</v>
      </c>
      <c r="O5">
        <v>27239</v>
      </c>
      <c r="Q5" s="99">
        <v>44559</v>
      </c>
      <c r="R5" s="105">
        <v>4793.0600000000004</v>
      </c>
    </row>
    <row r="6" spans="1:18" x14ac:dyDescent="0.3">
      <c r="A6" s="99">
        <v>44203</v>
      </c>
      <c r="B6">
        <v>104.489998</v>
      </c>
      <c r="C6">
        <v>1178</v>
      </c>
      <c r="D6">
        <f t="shared" si="0"/>
        <v>123089.217644</v>
      </c>
      <c r="E6" s="100">
        <v>36026</v>
      </c>
      <c r="K6" s="106">
        <v>44203</v>
      </c>
      <c r="L6" s="98">
        <v>508.89</v>
      </c>
      <c r="M6">
        <v>443</v>
      </c>
      <c r="N6">
        <f t="shared" si="1"/>
        <v>225438.27</v>
      </c>
      <c r="O6">
        <v>27239</v>
      </c>
      <c r="Q6" s="99">
        <v>44558</v>
      </c>
      <c r="R6" s="105">
        <v>4786.3599999999997</v>
      </c>
    </row>
    <row r="7" spans="1:18" x14ac:dyDescent="0.3">
      <c r="A7" s="99">
        <v>44204</v>
      </c>
      <c r="B7">
        <v>103.860001</v>
      </c>
      <c r="C7">
        <v>1178</v>
      </c>
      <c r="D7">
        <f t="shared" si="0"/>
        <v>122347.08117799999</v>
      </c>
      <c r="E7" s="100">
        <v>36026</v>
      </c>
      <c r="K7" s="106">
        <v>44204</v>
      </c>
      <c r="L7" s="98">
        <v>510.4</v>
      </c>
      <c r="M7">
        <v>443</v>
      </c>
      <c r="N7">
        <f t="shared" si="1"/>
        <v>226107.19999999998</v>
      </c>
      <c r="O7">
        <v>27239</v>
      </c>
      <c r="Q7" s="99">
        <v>44557</v>
      </c>
      <c r="R7" s="105">
        <v>4791.1899999999996</v>
      </c>
    </row>
    <row r="8" spans="1:18" x14ac:dyDescent="0.3">
      <c r="A8" s="99">
        <v>44207</v>
      </c>
      <c r="B8">
        <v>105.099998</v>
      </c>
      <c r="C8">
        <v>1178</v>
      </c>
      <c r="D8">
        <f t="shared" si="0"/>
        <v>123807.79764400001</v>
      </c>
      <c r="E8" s="100">
        <v>36026</v>
      </c>
      <c r="K8" s="106">
        <v>44207</v>
      </c>
      <c r="L8" s="98">
        <v>499.1</v>
      </c>
      <c r="M8">
        <v>443</v>
      </c>
      <c r="N8">
        <f t="shared" si="1"/>
        <v>221101.30000000002</v>
      </c>
      <c r="O8">
        <v>27239</v>
      </c>
      <c r="Q8" s="99">
        <v>44553</v>
      </c>
      <c r="R8" s="105">
        <v>4725.78</v>
      </c>
    </row>
    <row r="9" spans="1:18" x14ac:dyDescent="0.3">
      <c r="A9" s="99">
        <v>44208</v>
      </c>
      <c r="B9">
        <v>104.010002</v>
      </c>
      <c r="C9">
        <v>1178</v>
      </c>
      <c r="D9">
        <f t="shared" si="0"/>
        <v>122523.782356</v>
      </c>
      <c r="E9" s="100">
        <v>36026</v>
      </c>
      <c r="K9" s="106">
        <v>44208</v>
      </c>
      <c r="L9" s="98">
        <v>494.25</v>
      </c>
      <c r="M9">
        <v>443</v>
      </c>
      <c r="N9">
        <f t="shared" si="1"/>
        <v>218952.75</v>
      </c>
      <c r="O9">
        <v>27239</v>
      </c>
      <c r="Q9" s="99">
        <v>44552</v>
      </c>
      <c r="R9" s="105">
        <v>4696.5600000000004</v>
      </c>
    </row>
    <row r="10" spans="1:18" x14ac:dyDescent="0.3">
      <c r="A10" s="99">
        <v>44209</v>
      </c>
      <c r="B10">
        <v>102.32</v>
      </c>
      <c r="C10">
        <v>1178</v>
      </c>
      <c r="D10">
        <f t="shared" si="0"/>
        <v>120532.95999999999</v>
      </c>
      <c r="E10" s="100">
        <v>36026</v>
      </c>
      <c r="K10" s="106">
        <v>44209</v>
      </c>
      <c r="L10" s="98">
        <v>507.79</v>
      </c>
      <c r="M10">
        <v>443</v>
      </c>
      <c r="N10">
        <f t="shared" si="1"/>
        <v>224950.97</v>
      </c>
      <c r="O10">
        <v>27239</v>
      </c>
      <c r="Q10" s="99">
        <v>44551</v>
      </c>
      <c r="R10" s="105">
        <v>4649.2299999999996</v>
      </c>
    </row>
    <row r="11" spans="1:18" x14ac:dyDescent="0.3">
      <c r="A11" s="99">
        <v>44210</v>
      </c>
      <c r="B11">
        <v>103.800003</v>
      </c>
      <c r="C11">
        <v>1178</v>
      </c>
      <c r="D11">
        <f t="shared" si="0"/>
        <v>122276.403534</v>
      </c>
      <c r="E11" s="100">
        <v>36026</v>
      </c>
      <c r="K11" s="106">
        <v>44210</v>
      </c>
      <c r="L11" s="98">
        <v>500.86</v>
      </c>
      <c r="M11">
        <v>443</v>
      </c>
      <c r="N11">
        <f t="shared" si="1"/>
        <v>221880.98</v>
      </c>
      <c r="O11">
        <v>27239</v>
      </c>
      <c r="Q11" s="99">
        <v>44550</v>
      </c>
      <c r="R11" s="105">
        <v>4568.0200000000004</v>
      </c>
    </row>
    <row r="12" spans="1:18" x14ac:dyDescent="0.3">
      <c r="A12" s="99">
        <v>44211</v>
      </c>
      <c r="B12">
        <v>101.379997</v>
      </c>
      <c r="C12">
        <v>1178</v>
      </c>
      <c r="D12">
        <f t="shared" si="0"/>
        <v>119425.636466</v>
      </c>
      <c r="E12" s="100">
        <v>36026</v>
      </c>
      <c r="K12" s="106">
        <v>44211</v>
      </c>
      <c r="L12" s="98">
        <v>497.98</v>
      </c>
      <c r="M12">
        <v>443</v>
      </c>
      <c r="N12">
        <f t="shared" si="1"/>
        <v>220605.14</v>
      </c>
      <c r="O12">
        <v>27239</v>
      </c>
      <c r="Q12" s="99">
        <v>44547</v>
      </c>
      <c r="R12" s="105">
        <v>4620.6400000000003</v>
      </c>
    </row>
    <row r="13" spans="1:18" x14ac:dyDescent="0.3">
      <c r="A13" s="99">
        <v>44215</v>
      </c>
      <c r="B13">
        <v>102.800003</v>
      </c>
      <c r="C13">
        <v>1178</v>
      </c>
      <c r="D13">
        <f t="shared" si="0"/>
        <v>121098.403534</v>
      </c>
      <c r="E13" s="100">
        <v>36026</v>
      </c>
      <c r="K13" s="106">
        <v>44215</v>
      </c>
      <c r="L13" s="98">
        <v>501.77</v>
      </c>
      <c r="M13">
        <v>443</v>
      </c>
      <c r="N13">
        <f t="shared" si="1"/>
        <v>222284.11</v>
      </c>
      <c r="O13">
        <v>27239</v>
      </c>
      <c r="Q13" s="99">
        <v>44546</v>
      </c>
      <c r="R13" s="105">
        <v>4668.67</v>
      </c>
    </row>
    <row r="14" spans="1:18" x14ac:dyDescent="0.3">
      <c r="A14" s="99">
        <v>44216</v>
      </c>
      <c r="B14">
        <v>102.410004</v>
      </c>
      <c r="C14">
        <v>1178</v>
      </c>
      <c r="D14">
        <f t="shared" si="0"/>
        <v>120638.984712</v>
      </c>
      <c r="E14" s="100">
        <v>36026</v>
      </c>
      <c r="K14" s="106">
        <v>44216</v>
      </c>
      <c r="L14" s="98">
        <v>586.34</v>
      </c>
      <c r="M14">
        <v>443</v>
      </c>
      <c r="N14">
        <f t="shared" si="1"/>
        <v>259748.62000000002</v>
      </c>
      <c r="O14">
        <v>27239</v>
      </c>
      <c r="Q14" s="99">
        <v>44545</v>
      </c>
      <c r="R14" s="105">
        <v>4709.84</v>
      </c>
    </row>
    <row r="15" spans="1:18" x14ac:dyDescent="0.3">
      <c r="A15" s="99">
        <v>44217</v>
      </c>
      <c r="B15">
        <v>105.459999</v>
      </c>
      <c r="C15">
        <v>1178</v>
      </c>
      <c r="D15">
        <f t="shared" si="0"/>
        <v>124231.878822</v>
      </c>
      <c r="E15" s="100">
        <v>36026</v>
      </c>
      <c r="K15" s="106">
        <v>44217</v>
      </c>
      <c r="L15" s="98">
        <v>579.84</v>
      </c>
      <c r="M15">
        <v>443</v>
      </c>
      <c r="N15">
        <f t="shared" si="1"/>
        <v>256869.12000000002</v>
      </c>
      <c r="O15">
        <v>27239</v>
      </c>
      <c r="Q15" s="99">
        <v>44544</v>
      </c>
      <c r="R15" s="105">
        <v>4634.09</v>
      </c>
    </row>
    <row r="16" spans="1:18" x14ac:dyDescent="0.3">
      <c r="A16" s="99">
        <v>44218</v>
      </c>
      <c r="B16">
        <v>104.160004</v>
      </c>
      <c r="C16">
        <v>1178</v>
      </c>
      <c r="D16">
        <f t="shared" si="0"/>
        <v>122700.484712</v>
      </c>
      <c r="E16" s="100">
        <v>36026</v>
      </c>
      <c r="K16" s="106">
        <v>44218</v>
      </c>
      <c r="L16" s="98">
        <v>565.16999999999996</v>
      </c>
      <c r="M16">
        <v>443</v>
      </c>
      <c r="N16">
        <f t="shared" si="1"/>
        <v>250370.30999999997</v>
      </c>
      <c r="O16">
        <v>27239</v>
      </c>
      <c r="Q16" s="99">
        <v>44543</v>
      </c>
      <c r="R16" s="105">
        <v>4669.1499999999996</v>
      </c>
    </row>
    <row r="17" spans="1:18" x14ac:dyDescent="0.3">
      <c r="A17" s="99">
        <v>44221</v>
      </c>
      <c r="B17">
        <v>103.75</v>
      </c>
      <c r="C17">
        <v>1178</v>
      </c>
      <c r="D17">
        <f t="shared" si="0"/>
        <v>122217.5</v>
      </c>
      <c r="E17" s="100">
        <v>36026</v>
      </c>
      <c r="K17" s="106">
        <v>44221</v>
      </c>
      <c r="L17" s="98">
        <v>556.78</v>
      </c>
      <c r="M17">
        <v>443</v>
      </c>
      <c r="N17">
        <f t="shared" si="1"/>
        <v>246653.53999999998</v>
      </c>
      <c r="O17">
        <v>27239</v>
      </c>
      <c r="Q17" s="99">
        <v>44540</v>
      </c>
      <c r="R17" s="105">
        <v>4712.0200000000004</v>
      </c>
    </row>
    <row r="18" spans="1:18" x14ac:dyDescent="0.3">
      <c r="A18" s="99">
        <v>44222</v>
      </c>
      <c r="B18">
        <v>103.400002</v>
      </c>
      <c r="C18">
        <v>1178</v>
      </c>
      <c r="D18">
        <f t="shared" si="0"/>
        <v>121805.20235599999</v>
      </c>
      <c r="E18" s="100">
        <v>36026</v>
      </c>
      <c r="K18" s="106">
        <v>44222</v>
      </c>
      <c r="L18" s="98">
        <v>561.92999999999995</v>
      </c>
      <c r="M18">
        <v>443</v>
      </c>
      <c r="N18">
        <f t="shared" si="1"/>
        <v>248934.99</v>
      </c>
      <c r="O18">
        <v>27239</v>
      </c>
      <c r="Q18" s="99">
        <v>44539</v>
      </c>
      <c r="R18" s="105">
        <v>4667.45</v>
      </c>
    </row>
    <row r="19" spans="1:18" x14ac:dyDescent="0.3">
      <c r="A19" s="99">
        <v>44223</v>
      </c>
      <c r="B19">
        <v>101.480003</v>
      </c>
      <c r="C19">
        <v>1178</v>
      </c>
      <c r="D19">
        <f t="shared" si="0"/>
        <v>119543.44353399999</v>
      </c>
      <c r="E19" s="100">
        <v>36026</v>
      </c>
      <c r="K19" s="106">
        <v>44223</v>
      </c>
      <c r="L19" s="98">
        <v>523.28</v>
      </c>
      <c r="M19">
        <v>443</v>
      </c>
      <c r="N19">
        <f t="shared" si="1"/>
        <v>231813.03999999998</v>
      </c>
      <c r="O19">
        <v>27239</v>
      </c>
      <c r="Q19" s="99">
        <v>44538</v>
      </c>
      <c r="R19" s="105">
        <v>4701.21</v>
      </c>
    </row>
    <row r="20" spans="1:18" x14ac:dyDescent="0.3">
      <c r="A20" s="99">
        <v>44224</v>
      </c>
      <c r="B20">
        <v>98.940002000000007</v>
      </c>
      <c r="C20">
        <v>1178</v>
      </c>
      <c r="D20">
        <f t="shared" si="0"/>
        <v>116551.322356</v>
      </c>
      <c r="E20" s="100">
        <v>36026</v>
      </c>
      <c r="K20" s="106">
        <v>44224</v>
      </c>
      <c r="L20" s="98">
        <v>538.6</v>
      </c>
      <c r="M20">
        <v>443</v>
      </c>
      <c r="N20">
        <f t="shared" si="1"/>
        <v>238599.80000000002</v>
      </c>
      <c r="O20">
        <v>27239</v>
      </c>
      <c r="Q20" s="99">
        <v>44537</v>
      </c>
      <c r="R20" s="105">
        <v>4686.75</v>
      </c>
    </row>
    <row r="21" spans="1:18" x14ac:dyDescent="0.3">
      <c r="A21" s="99">
        <v>44225</v>
      </c>
      <c r="B21">
        <v>97.389999000000003</v>
      </c>
      <c r="C21">
        <v>1178</v>
      </c>
      <c r="D21">
        <f t="shared" si="0"/>
        <v>114725.41882200001</v>
      </c>
      <c r="E21" s="100">
        <v>36026</v>
      </c>
      <c r="K21" s="106">
        <v>44225</v>
      </c>
      <c r="L21" s="98">
        <v>532.39</v>
      </c>
      <c r="M21">
        <v>443</v>
      </c>
      <c r="N21">
        <f t="shared" si="1"/>
        <v>235848.77</v>
      </c>
      <c r="O21">
        <v>27239</v>
      </c>
      <c r="Q21" s="99">
        <v>44536</v>
      </c>
      <c r="R21" s="105">
        <v>4591.67</v>
      </c>
    </row>
    <row r="22" spans="1:18" x14ac:dyDescent="0.3">
      <c r="A22" s="99">
        <v>44228</v>
      </c>
      <c r="B22">
        <v>96.989998</v>
      </c>
      <c r="C22">
        <v>1178</v>
      </c>
      <c r="D22">
        <f t="shared" si="0"/>
        <v>114254.217644</v>
      </c>
      <c r="E22" s="100">
        <v>36026</v>
      </c>
      <c r="K22" s="106">
        <v>44228</v>
      </c>
      <c r="L22" s="98">
        <v>539.04</v>
      </c>
      <c r="M22">
        <v>443</v>
      </c>
      <c r="N22">
        <f t="shared" si="1"/>
        <v>238794.71999999997</v>
      </c>
      <c r="O22">
        <v>27239</v>
      </c>
      <c r="Q22" s="99">
        <v>44533</v>
      </c>
      <c r="R22" s="105">
        <v>4538.43</v>
      </c>
    </row>
    <row r="23" spans="1:18" x14ac:dyDescent="0.3">
      <c r="A23" s="99">
        <v>44229</v>
      </c>
      <c r="B23">
        <v>99.050003000000004</v>
      </c>
      <c r="C23">
        <v>1178</v>
      </c>
      <c r="D23">
        <f t="shared" si="0"/>
        <v>116680.903534</v>
      </c>
      <c r="E23" s="100">
        <v>36026</v>
      </c>
      <c r="K23" s="106">
        <v>44229</v>
      </c>
      <c r="L23" s="98">
        <v>548.16</v>
      </c>
      <c r="M23">
        <v>443</v>
      </c>
      <c r="N23">
        <f t="shared" si="1"/>
        <v>242834.87999999998</v>
      </c>
      <c r="O23">
        <v>27239</v>
      </c>
      <c r="Q23" s="99">
        <v>44532</v>
      </c>
      <c r="R23" s="105">
        <v>4577.1000000000004</v>
      </c>
    </row>
    <row r="24" spans="1:18" x14ac:dyDescent="0.3">
      <c r="A24" s="99">
        <v>44230</v>
      </c>
      <c r="B24">
        <v>101.25</v>
      </c>
      <c r="C24">
        <v>1178</v>
      </c>
      <c r="D24">
        <f t="shared" si="0"/>
        <v>119272.5</v>
      </c>
      <c r="E24" s="100">
        <v>36026</v>
      </c>
      <c r="K24" s="106">
        <v>44230</v>
      </c>
      <c r="L24" s="98">
        <v>539.45000000000005</v>
      </c>
      <c r="M24">
        <v>443</v>
      </c>
      <c r="N24">
        <f t="shared" si="1"/>
        <v>238976.35</v>
      </c>
      <c r="O24">
        <v>27239</v>
      </c>
      <c r="Q24" s="99">
        <v>44531</v>
      </c>
      <c r="R24" s="105">
        <v>4513.04</v>
      </c>
    </row>
    <row r="25" spans="1:18" x14ac:dyDescent="0.3">
      <c r="A25" s="99">
        <v>44231</v>
      </c>
      <c r="B25">
        <v>101.360001</v>
      </c>
      <c r="C25">
        <v>1178</v>
      </c>
      <c r="D25">
        <f t="shared" si="0"/>
        <v>119402.08117799999</v>
      </c>
      <c r="E25" s="100">
        <v>36026</v>
      </c>
      <c r="K25" s="106">
        <v>44231</v>
      </c>
      <c r="L25" s="98">
        <v>552.16</v>
      </c>
      <c r="M25">
        <v>443</v>
      </c>
      <c r="N25">
        <f t="shared" si="1"/>
        <v>244606.87999999998</v>
      </c>
      <c r="O25">
        <v>27239</v>
      </c>
      <c r="Q25" s="99">
        <v>44530</v>
      </c>
      <c r="R25" s="105">
        <v>4567</v>
      </c>
    </row>
    <row r="26" spans="1:18" x14ac:dyDescent="0.3">
      <c r="A26" s="99">
        <v>44232</v>
      </c>
      <c r="B26">
        <v>105.089996</v>
      </c>
      <c r="C26">
        <v>1178</v>
      </c>
      <c r="D26">
        <f t="shared" si="0"/>
        <v>123796.015288</v>
      </c>
      <c r="E26" s="100">
        <v>36026</v>
      </c>
      <c r="K26" s="106">
        <v>44232</v>
      </c>
      <c r="L26" s="98">
        <v>550.79</v>
      </c>
      <c r="M26">
        <v>443</v>
      </c>
      <c r="N26">
        <f t="shared" si="1"/>
        <v>243999.96999999997</v>
      </c>
      <c r="O26">
        <v>27239</v>
      </c>
      <c r="Q26" s="99">
        <v>44529</v>
      </c>
      <c r="R26" s="105">
        <v>4655.2700000000004</v>
      </c>
    </row>
    <row r="27" spans="1:18" x14ac:dyDescent="0.3">
      <c r="A27" s="99">
        <v>44235</v>
      </c>
      <c r="B27">
        <v>106.41999800000001</v>
      </c>
      <c r="C27">
        <v>1178</v>
      </c>
      <c r="D27">
        <f t="shared" si="0"/>
        <v>125362.75764400001</v>
      </c>
      <c r="E27" s="100">
        <v>36026</v>
      </c>
      <c r="K27" s="106">
        <v>44235</v>
      </c>
      <c r="L27" s="98">
        <v>547.91999999999996</v>
      </c>
      <c r="M27">
        <v>443</v>
      </c>
      <c r="N27">
        <f t="shared" si="1"/>
        <v>242728.55999999997</v>
      </c>
      <c r="O27">
        <v>27239</v>
      </c>
      <c r="Q27" s="99">
        <v>44526</v>
      </c>
      <c r="R27" s="105">
        <v>4594.62</v>
      </c>
    </row>
    <row r="28" spans="1:18" x14ac:dyDescent="0.3">
      <c r="A28" s="99">
        <v>44236</v>
      </c>
      <c r="B28">
        <v>106</v>
      </c>
      <c r="C28">
        <v>1178</v>
      </c>
      <c r="D28">
        <f t="shared" si="0"/>
        <v>124868</v>
      </c>
      <c r="E28" s="100">
        <v>36026</v>
      </c>
      <c r="K28" s="106">
        <v>44236</v>
      </c>
      <c r="L28" s="98">
        <v>559.07000000000005</v>
      </c>
      <c r="M28">
        <v>443</v>
      </c>
      <c r="N28">
        <f t="shared" si="1"/>
        <v>247668.01</v>
      </c>
      <c r="O28">
        <v>27239</v>
      </c>
      <c r="Q28" s="99">
        <v>44524</v>
      </c>
      <c r="R28" s="105">
        <v>4701.46</v>
      </c>
    </row>
    <row r="29" spans="1:18" x14ac:dyDescent="0.3">
      <c r="A29" s="99">
        <v>44237</v>
      </c>
      <c r="B29">
        <v>106.779999</v>
      </c>
      <c r="C29">
        <v>1178</v>
      </c>
      <c r="D29">
        <f t="shared" si="0"/>
        <v>125786.83882200001</v>
      </c>
      <c r="E29" s="100">
        <v>36026</v>
      </c>
      <c r="K29" s="106">
        <v>44237</v>
      </c>
      <c r="L29" s="98">
        <v>563.59</v>
      </c>
      <c r="M29">
        <v>443</v>
      </c>
      <c r="N29">
        <f t="shared" si="1"/>
        <v>249670.37000000002</v>
      </c>
      <c r="O29">
        <v>27239</v>
      </c>
      <c r="Q29" s="99">
        <v>44523</v>
      </c>
      <c r="R29" s="105">
        <v>4690.7</v>
      </c>
    </row>
    <row r="30" spans="1:18" x14ac:dyDescent="0.3">
      <c r="A30" s="99">
        <v>44238</v>
      </c>
      <c r="B30">
        <v>106.120003</v>
      </c>
      <c r="C30">
        <v>1178</v>
      </c>
      <c r="D30">
        <f t="shared" si="0"/>
        <v>125009.363534</v>
      </c>
      <c r="E30" s="100">
        <v>36026</v>
      </c>
      <c r="K30" s="106">
        <v>44238</v>
      </c>
      <c r="L30" s="98">
        <v>557.59</v>
      </c>
      <c r="M30">
        <v>443</v>
      </c>
      <c r="N30">
        <f t="shared" si="1"/>
        <v>247012.37000000002</v>
      </c>
      <c r="O30">
        <v>27239</v>
      </c>
      <c r="Q30" s="99">
        <v>44522</v>
      </c>
      <c r="R30" s="105">
        <v>4682.95</v>
      </c>
    </row>
    <row r="31" spans="1:18" x14ac:dyDescent="0.3">
      <c r="A31" s="99">
        <v>44239</v>
      </c>
      <c r="B31">
        <v>105.739998</v>
      </c>
      <c r="C31">
        <v>1178</v>
      </c>
      <c r="D31">
        <f t="shared" si="0"/>
        <v>124561.717644</v>
      </c>
      <c r="E31" s="100">
        <v>36026</v>
      </c>
      <c r="K31" s="106">
        <v>44239</v>
      </c>
      <c r="L31" s="98">
        <v>556.52</v>
      </c>
      <c r="M31">
        <v>443</v>
      </c>
      <c r="N31">
        <f t="shared" si="1"/>
        <v>246538.36</v>
      </c>
      <c r="O31">
        <v>27239</v>
      </c>
      <c r="Q31" s="99">
        <v>44519</v>
      </c>
      <c r="R31" s="105">
        <v>4697.96</v>
      </c>
    </row>
    <row r="32" spans="1:18" x14ac:dyDescent="0.3">
      <c r="A32" s="99">
        <v>44243</v>
      </c>
      <c r="B32">
        <v>104.879997</v>
      </c>
      <c r="C32">
        <v>1178</v>
      </c>
      <c r="D32">
        <f t="shared" si="0"/>
        <v>123548.636466</v>
      </c>
      <c r="E32" s="100">
        <v>36026</v>
      </c>
      <c r="K32" s="106">
        <v>44243</v>
      </c>
      <c r="L32" s="98">
        <v>557.28</v>
      </c>
      <c r="M32">
        <v>443</v>
      </c>
      <c r="N32">
        <f t="shared" si="1"/>
        <v>246875.03999999998</v>
      </c>
      <c r="O32">
        <v>27239</v>
      </c>
      <c r="Q32" s="99">
        <v>44518</v>
      </c>
      <c r="R32" s="105">
        <v>4706.6400000000003</v>
      </c>
    </row>
    <row r="33" spans="1:18" x14ac:dyDescent="0.3">
      <c r="A33" s="99">
        <v>44244</v>
      </c>
      <c r="B33">
        <v>105.110001</v>
      </c>
      <c r="C33">
        <v>1178</v>
      </c>
      <c r="D33">
        <f t="shared" si="0"/>
        <v>123819.58117799999</v>
      </c>
      <c r="E33" s="100">
        <v>36026</v>
      </c>
      <c r="K33" s="106">
        <v>44244</v>
      </c>
      <c r="L33" s="98">
        <v>551.34</v>
      </c>
      <c r="M33">
        <v>443</v>
      </c>
      <c r="N33">
        <f t="shared" si="1"/>
        <v>244243.62000000002</v>
      </c>
      <c r="O33">
        <v>27239</v>
      </c>
      <c r="Q33" s="99">
        <v>44517</v>
      </c>
      <c r="R33" s="105">
        <v>4688.67</v>
      </c>
    </row>
    <row r="34" spans="1:18" x14ac:dyDescent="0.3">
      <c r="A34" s="99">
        <v>44245</v>
      </c>
      <c r="B34">
        <v>103.779999</v>
      </c>
      <c r="C34">
        <v>1178</v>
      </c>
      <c r="D34">
        <f t="shared" si="0"/>
        <v>122252.83882200001</v>
      </c>
      <c r="E34" s="100">
        <v>36026</v>
      </c>
      <c r="K34" s="106">
        <v>44245</v>
      </c>
      <c r="L34" s="98">
        <v>548.22</v>
      </c>
      <c r="M34">
        <v>443</v>
      </c>
      <c r="N34">
        <f t="shared" si="1"/>
        <v>242861.46000000002</v>
      </c>
      <c r="O34">
        <v>27239</v>
      </c>
      <c r="Q34" s="99">
        <v>44516</v>
      </c>
      <c r="R34" s="105">
        <v>4700.8999999999996</v>
      </c>
    </row>
    <row r="35" spans="1:18" x14ac:dyDescent="0.3">
      <c r="A35" s="99">
        <v>44246</v>
      </c>
      <c r="B35">
        <v>104.75</v>
      </c>
      <c r="C35">
        <v>1178</v>
      </c>
      <c r="D35">
        <f t="shared" si="0"/>
        <v>123395.5</v>
      </c>
      <c r="E35" s="100">
        <v>36026</v>
      </c>
      <c r="K35" s="106">
        <v>44246</v>
      </c>
      <c r="L35" s="98">
        <v>540.22</v>
      </c>
      <c r="M35">
        <v>443</v>
      </c>
      <c r="N35">
        <f t="shared" si="1"/>
        <v>239317.46000000002</v>
      </c>
      <c r="O35">
        <v>27239</v>
      </c>
      <c r="Q35" s="99">
        <v>44515</v>
      </c>
      <c r="R35" s="105">
        <v>4682.8100000000004</v>
      </c>
    </row>
    <row r="36" spans="1:18" x14ac:dyDescent="0.3">
      <c r="A36" s="99">
        <v>44249</v>
      </c>
      <c r="B36">
        <v>102.989998</v>
      </c>
      <c r="C36">
        <v>1178</v>
      </c>
      <c r="D36">
        <f t="shared" si="0"/>
        <v>121322.217644</v>
      </c>
      <c r="E36" s="100">
        <v>36026</v>
      </c>
      <c r="K36" s="106">
        <v>44249</v>
      </c>
      <c r="L36" s="98">
        <v>533.78</v>
      </c>
      <c r="M36">
        <v>443</v>
      </c>
      <c r="N36">
        <f t="shared" si="1"/>
        <v>236464.53999999998</v>
      </c>
      <c r="O36">
        <v>27239</v>
      </c>
      <c r="Q36" s="99">
        <v>44512</v>
      </c>
      <c r="R36" s="105">
        <v>4682.8500000000004</v>
      </c>
    </row>
    <row r="37" spans="1:18" x14ac:dyDescent="0.3">
      <c r="A37" s="99">
        <v>44250</v>
      </c>
      <c r="B37">
        <v>103.339996</v>
      </c>
      <c r="C37">
        <v>1178</v>
      </c>
      <c r="D37">
        <f t="shared" si="0"/>
        <v>121734.515288</v>
      </c>
      <c r="E37" s="100">
        <v>36026</v>
      </c>
      <c r="K37" s="106">
        <v>44250</v>
      </c>
      <c r="L37" s="98">
        <v>546.15</v>
      </c>
      <c r="M37">
        <v>443</v>
      </c>
      <c r="N37">
        <f t="shared" si="1"/>
        <v>241944.44999999998</v>
      </c>
      <c r="O37">
        <v>27239</v>
      </c>
      <c r="Q37" s="99">
        <v>44511</v>
      </c>
      <c r="R37" s="105">
        <v>4649.2700000000004</v>
      </c>
    </row>
    <row r="38" spans="1:18" x14ac:dyDescent="0.3">
      <c r="A38" s="99">
        <v>44251</v>
      </c>
      <c r="B38">
        <v>101.160004</v>
      </c>
      <c r="C38">
        <v>1178</v>
      </c>
      <c r="D38">
        <f t="shared" si="0"/>
        <v>119166.484712</v>
      </c>
      <c r="E38" s="100">
        <v>36026</v>
      </c>
      <c r="K38" s="106">
        <v>44251</v>
      </c>
      <c r="L38" s="98">
        <v>553.41</v>
      </c>
      <c r="M38">
        <v>443</v>
      </c>
      <c r="N38">
        <f t="shared" si="1"/>
        <v>245160.62999999998</v>
      </c>
      <c r="O38">
        <v>27239</v>
      </c>
      <c r="Q38" s="99">
        <v>44510</v>
      </c>
      <c r="R38" s="105">
        <v>4646.71</v>
      </c>
    </row>
    <row r="39" spans="1:18" x14ac:dyDescent="0.3">
      <c r="A39" s="99">
        <v>44252</v>
      </c>
      <c r="B39">
        <v>104</v>
      </c>
      <c r="C39">
        <v>1178</v>
      </c>
      <c r="D39">
        <f t="shared" si="0"/>
        <v>122512</v>
      </c>
      <c r="E39" s="100">
        <v>36026</v>
      </c>
      <c r="K39" s="106">
        <v>44252</v>
      </c>
      <c r="L39" s="98">
        <v>546.70000000000005</v>
      </c>
      <c r="M39">
        <v>443</v>
      </c>
      <c r="N39">
        <f t="shared" si="1"/>
        <v>242188.1</v>
      </c>
      <c r="O39">
        <v>27239</v>
      </c>
      <c r="Q39" s="99">
        <v>44509</v>
      </c>
      <c r="R39" s="105">
        <v>4685.25</v>
      </c>
    </row>
    <row r="40" spans="1:18" x14ac:dyDescent="0.3">
      <c r="A40" s="99">
        <v>44253</v>
      </c>
      <c r="B40">
        <v>104.150002</v>
      </c>
      <c r="C40">
        <v>1178</v>
      </c>
      <c r="D40">
        <f t="shared" si="0"/>
        <v>122688.70235599999</v>
      </c>
      <c r="E40" s="100">
        <v>36026</v>
      </c>
      <c r="K40" s="106">
        <v>44253</v>
      </c>
      <c r="L40" s="98">
        <v>538.85</v>
      </c>
      <c r="M40">
        <v>443</v>
      </c>
      <c r="N40">
        <f t="shared" si="1"/>
        <v>238710.55000000002</v>
      </c>
      <c r="O40">
        <v>27239</v>
      </c>
      <c r="Q40" s="99">
        <v>44508</v>
      </c>
      <c r="R40" s="105">
        <v>4701.7</v>
      </c>
    </row>
    <row r="41" spans="1:18" x14ac:dyDescent="0.3">
      <c r="A41" s="99">
        <v>44256</v>
      </c>
      <c r="B41">
        <v>108.599998</v>
      </c>
      <c r="C41">
        <v>1178</v>
      </c>
      <c r="D41">
        <f t="shared" si="0"/>
        <v>127930.79764400001</v>
      </c>
      <c r="E41" s="100">
        <v>36026</v>
      </c>
      <c r="K41" s="106">
        <v>44256</v>
      </c>
      <c r="L41" s="98">
        <v>550.64</v>
      </c>
      <c r="M41">
        <v>443</v>
      </c>
      <c r="N41">
        <f t="shared" si="1"/>
        <v>243933.52</v>
      </c>
      <c r="O41">
        <v>27239</v>
      </c>
      <c r="Q41" s="99">
        <v>44505</v>
      </c>
      <c r="R41" s="105">
        <v>4697.53</v>
      </c>
    </row>
    <row r="42" spans="1:18" x14ac:dyDescent="0.3">
      <c r="A42" s="99">
        <v>44257</v>
      </c>
      <c r="B42">
        <v>107.30999799999999</v>
      </c>
      <c r="C42">
        <v>1178</v>
      </c>
      <c r="D42">
        <f t="shared" si="0"/>
        <v>126411.177644</v>
      </c>
      <c r="E42" s="100">
        <v>36026</v>
      </c>
      <c r="K42" s="106">
        <v>44257</v>
      </c>
      <c r="L42" s="98">
        <v>547.82000000000005</v>
      </c>
      <c r="M42">
        <v>443</v>
      </c>
      <c r="N42">
        <f t="shared" si="1"/>
        <v>242684.26</v>
      </c>
      <c r="O42">
        <v>27239</v>
      </c>
      <c r="Q42" s="99">
        <v>44504</v>
      </c>
      <c r="R42" s="105">
        <v>4680.0600000000004</v>
      </c>
    </row>
    <row r="43" spans="1:18" x14ac:dyDescent="0.3">
      <c r="A43" s="99">
        <v>44258</v>
      </c>
      <c r="B43">
        <v>106.94000200000001</v>
      </c>
      <c r="C43">
        <v>1178</v>
      </c>
      <c r="D43">
        <f t="shared" si="0"/>
        <v>125975.322356</v>
      </c>
      <c r="E43" s="100">
        <v>36026</v>
      </c>
      <c r="K43" s="106">
        <v>44258</v>
      </c>
      <c r="L43" s="98">
        <v>520.70000000000005</v>
      </c>
      <c r="M43">
        <v>443</v>
      </c>
      <c r="N43">
        <f t="shared" si="1"/>
        <v>230670.1</v>
      </c>
      <c r="O43">
        <v>27239</v>
      </c>
      <c r="Q43" s="99">
        <v>44503</v>
      </c>
      <c r="R43" s="105">
        <v>4660.57</v>
      </c>
    </row>
    <row r="44" spans="1:18" x14ac:dyDescent="0.3">
      <c r="A44" s="99">
        <v>44259</v>
      </c>
      <c r="B44">
        <v>106.260002</v>
      </c>
      <c r="C44">
        <v>1178</v>
      </c>
      <c r="D44">
        <f t="shared" si="0"/>
        <v>125174.282356</v>
      </c>
      <c r="E44" s="100">
        <v>36026</v>
      </c>
      <c r="K44" s="106">
        <v>44259</v>
      </c>
      <c r="L44" s="98">
        <v>511.29</v>
      </c>
      <c r="M44">
        <v>443</v>
      </c>
      <c r="N44">
        <f t="shared" si="1"/>
        <v>226501.47</v>
      </c>
      <c r="O44">
        <v>27239</v>
      </c>
      <c r="Q44" s="99">
        <v>44502</v>
      </c>
      <c r="R44" s="105">
        <v>4630.6499999999996</v>
      </c>
    </row>
    <row r="45" spans="1:18" x14ac:dyDescent="0.3">
      <c r="A45" s="99">
        <v>44260</v>
      </c>
      <c r="B45">
        <v>106.05999799999999</v>
      </c>
      <c r="C45">
        <v>1178</v>
      </c>
      <c r="D45">
        <f t="shared" si="0"/>
        <v>124938.677644</v>
      </c>
      <c r="E45" s="100">
        <v>36026</v>
      </c>
      <c r="K45" s="106">
        <v>44260</v>
      </c>
      <c r="L45" s="98">
        <v>516.39</v>
      </c>
      <c r="M45">
        <v>443</v>
      </c>
      <c r="N45">
        <f t="shared" si="1"/>
        <v>228760.77</v>
      </c>
      <c r="O45">
        <v>27239</v>
      </c>
      <c r="Q45" s="99">
        <v>44501</v>
      </c>
      <c r="R45" s="105">
        <v>4613.67</v>
      </c>
    </row>
    <row r="46" spans="1:18" x14ac:dyDescent="0.3">
      <c r="A46" s="99">
        <v>44263</v>
      </c>
      <c r="B46">
        <v>104.800003</v>
      </c>
      <c r="C46">
        <v>1178</v>
      </c>
      <c r="D46">
        <f t="shared" si="0"/>
        <v>123454.403534</v>
      </c>
      <c r="E46" s="100">
        <v>36026</v>
      </c>
      <c r="K46" s="106">
        <v>44263</v>
      </c>
      <c r="L46" s="98">
        <v>493.33</v>
      </c>
      <c r="M46">
        <v>443</v>
      </c>
      <c r="N46">
        <f t="shared" si="1"/>
        <v>218545.19</v>
      </c>
      <c r="O46">
        <v>27239</v>
      </c>
      <c r="Q46" s="99">
        <v>44498</v>
      </c>
      <c r="R46" s="105">
        <v>4605.38</v>
      </c>
    </row>
    <row r="47" spans="1:18" x14ac:dyDescent="0.3">
      <c r="A47" s="99">
        <v>44264</v>
      </c>
      <c r="B47">
        <v>106.279999</v>
      </c>
      <c r="C47">
        <v>1178</v>
      </c>
      <c r="D47">
        <f t="shared" si="0"/>
        <v>125197.83882200001</v>
      </c>
      <c r="E47" s="100">
        <v>36026</v>
      </c>
      <c r="K47" s="106">
        <v>44264</v>
      </c>
      <c r="L47" s="98">
        <v>506.44</v>
      </c>
      <c r="M47">
        <v>443</v>
      </c>
      <c r="N47">
        <f t="shared" si="1"/>
        <v>224352.92</v>
      </c>
      <c r="O47">
        <v>27239</v>
      </c>
      <c r="Q47" s="99">
        <v>44497</v>
      </c>
      <c r="R47" s="105">
        <v>4596.42</v>
      </c>
    </row>
    <row r="48" spans="1:18" x14ac:dyDescent="0.3">
      <c r="A48" s="99">
        <v>44265</v>
      </c>
      <c r="B48">
        <v>107.220001</v>
      </c>
      <c r="C48">
        <v>1178</v>
      </c>
      <c r="D48">
        <f t="shared" si="0"/>
        <v>126305.16117799999</v>
      </c>
      <c r="E48" s="100">
        <v>36026</v>
      </c>
      <c r="K48" s="106">
        <v>44265</v>
      </c>
      <c r="L48" s="98">
        <v>504.54</v>
      </c>
      <c r="M48">
        <v>443</v>
      </c>
      <c r="N48">
        <f t="shared" si="1"/>
        <v>223511.22</v>
      </c>
      <c r="O48">
        <v>27239</v>
      </c>
      <c r="Q48" s="99">
        <v>44496</v>
      </c>
      <c r="R48" s="105">
        <v>4551.68</v>
      </c>
    </row>
    <row r="49" spans="1:18" x14ac:dyDescent="0.3">
      <c r="A49" s="99">
        <v>44266</v>
      </c>
      <c r="B49">
        <v>108.410004</v>
      </c>
      <c r="C49">
        <v>1178</v>
      </c>
      <c r="D49">
        <f t="shared" si="0"/>
        <v>127706.984712</v>
      </c>
      <c r="E49" s="100">
        <v>36026</v>
      </c>
      <c r="K49" s="106">
        <v>44266</v>
      </c>
      <c r="L49" s="98">
        <v>523.05999999999995</v>
      </c>
      <c r="M49">
        <v>443</v>
      </c>
      <c r="N49">
        <f t="shared" si="1"/>
        <v>231715.58</v>
      </c>
      <c r="O49">
        <v>27239</v>
      </c>
      <c r="Q49" s="99">
        <v>44495</v>
      </c>
      <c r="R49" s="105">
        <v>4574.79</v>
      </c>
    </row>
    <row r="50" spans="1:18" x14ac:dyDescent="0.3">
      <c r="A50" s="99">
        <v>44267</v>
      </c>
      <c r="B50">
        <v>107.41999800000001</v>
      </c>
      <c r="C50">
        <v>1178</v>
      </c>
      <c r="D50">
        <f t="shared" si="0"/>
        <v>126540.75764400001</v>
      </c>
      <c r="E50" s="100">
        <v>36026</v>
      </c>
      <c r="K50" s="106">
        <v>44267</v>
      </c>
      <c r="L50" s="98">
        <v>518.02</v>
      </c>
      <c r="M50">
        <v>443</v>
      </c>
      <c r="N50">
        <f t="shared" si="1"/>
        <v>229482.86</v>
      </c>
      <c r="O50">
        <v>27239</v>
      </c>
      <c r="Q50" s="99">
        <v>44494</v>
      </c>
      <c r="R50" s="105">
        <v>4566.4799999999996</v>
      </c>
    </row>
    <row r="51" spans="1:18" x14ac:dyDescent="0.3">
      <c r="A51" s="99">
        <v>44270</v>
      </c>
      <c r="B51">
        <v>107.889999</v>
      </c>
      <c r="C51">
        <v>1178</v>
      </c>
      <c r="D51">
        <f t="shared" si="0"/>
        <v>127094.41882200001</v>
      </c>
      <c r="E51" s="100">
        <v>36026</v>
      </c>
      <c r="K51" s="106">
        <v>44270</v>
      </c>
      <c r="L51" s="98">
        <v>520.25</v>
      </c>
      <c r="M51">
        <v>443</v>
      </c>
      <c r="N51">
        <f t="shared" si="1"/>
        <v>230470.75</v>
      </c>
      <c r="O51">
        <v>27239</v>
      </c>
      <c r="Q51" s="99">
        <v>44491</v>
      </c>
      <c r="R51" s="105">
        <v>4544.8999999999996</v>
      </c>
    </row>
    <row r="52" spans="1:18" x14ac:dyDescent="0.3">
      <c r="A52" s="99">
        <v>44271</v>
      </c>
      <c r="B52">
        <v>110.57</v>
      </c>
      <c r="C52">
        <v>1178</v>
      </c>
      <c r="D52">
        <f t="shared" si="0"/>
        <v>130251.45999999999</v>
      </c>
      <c r="E52" s="100">
        <v>36026</v>
      </c>
      <c r="K52" s="106">
        <v>44271</v>
      </c>
      <c r="L52" s="98">
        <v>524.03</v>
      </c>
      <c r="M52">
        <v>443</v>
      </c>
      <c r="N52">
        <f t="shared" si="1"/>
        <v>232145.28999999998</v>
      </c>
      <c r="O52">
        <v>27239</v>
      </c>
      <c r="Q52" s="99">
        <v>44490</v>
      </c>
      <c r="R52" s="105">
        <v>4549.78</v>
      </c>
    </row>
    <row r="53" spans="1:18" x14ac:dyDescent="0.3">
      <c r="A53" s="99">
        <v>44272</v>
      </c>
      <c r="B53">
        <v>111.30999799999999</v>
      </c>
      <c r="C53">
        <v>1178</v>
      </c>
      <c r="D53">
        <f t="shared" si="0"/>
        <v>131123.17764399998</v>
      </c>
      <c r="E53" s="100">
        <v>36026</v>
      </c>
      <c r="K53" s="106">
        <v>44272</v>
      </c>
      <c r="L53" s="98">
        <v>524.44000000000005</v>
      </c>
      <c r="M53">
        <v>443</v>
      </c>
      <c r="N53">
        <f t="shared" si="1"/>
        <v>232326.92</v>
      </c>
      <c r="O53">
        <v>27239</v>
      </c>
      <c r="Q53" s="99">
        <v>44489</v>
      </c>
      <c r="R53" s="105">
        <v>4536.1899999999996</v>
      </c>
    </row>
    <row r="54" spans="1:18" x14ac:dyDescent="0.3">
      <c r="A54" s="99">
        <v>44273</v>
      </c>
      <c r="B54">
        <v>109.279999</v>
      </c>
      <c r="C54">
        <v>1178</v>
      </c>
      <c r="D54">
        <f t="shared" si="0"/>
        <v>128731.83882200001</v>
      </c>
      <c r="E54" s="100">
        <v>36026</v>
      </c>
      <c r="K54" s="106">
        <v>44273</v>
      </c>
      <c r="L54" s="98">
        <v>504.79</v>
      </c>
      <c r="M54">
        <v>443</v>
      </c>
      <c r="N54">
        <f t="shared" si="1"/>
        <v>223621.97</v>
      </c>
      <c r="O54">
        <v>27239</v>
      </c>
      <c r="Q54" s="99">
        <v>44488</v>
      </c>
      <c r="R54" s="105">
        <v>4519.63</v>
      </c>
    </row>
    <row r="55" spans="1:18" x14ac:dyDescent="0.3">
      <c r="A55" s="99">
        <v>44274</v>
      </c>
      <c r="B55">
        <v>108.349998</v>
      </c>
      <c r="C55">
        <v>1178</v>
      </c>
      <c r="D55">
        <f t="shared" si="0"/>
        <v>127636.29764400001</v>
      </c>
      <c r="E55" s="100">
        <v>36026</v>
      </c>
      <c r="K55" s="106">
        <v>44274</v>
      </c>
      <c r="L55" s="98">
        <v>512.17999999999995</v>
      </c>
      <c r="M55">
        <v>443</v>
      </c>
      <c r="N55">
        <f t="shared" si="1"/>
        <v>226895.74</v>
      </c>
      <c r="O55">
        <v>27239</v>
      </c>
      <c r="Q55" s="99">
        <v>44487</v>
      </c>
      <c r="R55" s="105">
        <v>4486.4799999999996</v>
      </c>
    </row>
    <row r="56" spans="1:18" x14ac:dyDescent="0.3">
      <c r="A56" s="99">
        <v>44277</v>
      </c>
      <c r="B56">
        <v>106.400002</v>
      </c>
      <c r="C56">
        <v>1178</v>
      </c>
      <c r="D56">
        <f t="shared" si="0"/>
        <v>125339.20235599999</v>
      </c>
      <c r="E56" s="100">
        <v>36026</v>
      </c>
      <c r="K56" s="106">
        <v>44277</v>
      </c>
      <c r="L56" s="98">
        <v>523.11</v>
      </c>
      <c r="M56">
        <v>443</v>
      </c>
      <c r="N56">
        <f t="shared" si="1"/>
        <v>231737.73</v>
      </c>
      <c r="O56">
        <v>27239</v>
      </c>
      <c r="Q56" s="99">
        <v>44484</v>
      </c>
      <c r="R56" s="105">
        <v>4471.37</v>
      </c>
    </row>
    <row r="57" spans="1:18" x14ac:dyDescent="0.3">
      <c r="A57" s="99">
        <v>44278</v>
      </c>
      <c r="B57">
        <v>107.739998</v>
      </c>
      <c r="C57">
        <v>1178</v>
      </c>
      <c r="D57">
        <f t="shared" si="0"/>
        <v>126917.717644</v>
      </c>
      <c r="E57" s="100">
        <v>36026</v>
      </c>
      <c r="K57" s="106">
        <v>44278</v>
      </c>
      <c r="L57" s="98">
        <v>535.09</v>
      </c>
      <c r="M57">
        <v>443</v>
      </c>
      <c r="N57">
        <f t="shared" si="1"/>
        <v>237044.87000000002</v>
      </c>
      <c r="O57">
        <v>27239</v>
      </c>
      <c r="Q57" s="99">
        <v>44483</v>
      </c>
      <c r="R57" s="105">
        <v>4438.2299999999996</v>
      </c>
    </row>
    <row r="58" spans="1:18" x14ac:dyDescent="0.3">
      <c r="A58" s="99">
        <v>44279</v>
      </c>
      <c r="B58">
        <v>106.629997</v>
      </c>
      <c r="C58">
        <v>1178</v>
      </c>
      <c r="D58">
        <f t="shared" si="0"/>
        <v>125610.136466</v>
      </c>
      <c r="E58" s="100">
        <v>36026</v>
      </c>
      <c r="K58" s="106">
        <v>44279</v>
      </c>
      <c r="L58" s="98">
        <v>520.80999999999995</v>
      </c>
      <c r="M58">
        <v>443</v>
      </c>
      <c r="N58">
        <f t="shared" si="1"/>
        <v>230718.83</v>
      </c>
      <c r="O58">
        <v>27239</v>
      </c>
      <c r="Q58" s="99">
        <v>44482</v>
      </c>
      <c r="R58" s="105">
        <v>4363.8</v>
      </c>
    </row>
    <row r="59" spans="1:18" x14ac:dyDescent="0.3">
      <c r="A59" s="99">
        <v>44280</v>
      </c>
      <c r="B59">
        <v>105.010002</v>
      </c>
      <c r="C59">
        <v>1178</v>
      </c>
      <c r="D59">
        <f t="shared" si="0"/>
        <v>123701.782356</v>
      </c>
      <c r="E59" s="100">
        <v>36026</v>
      </c>
      <c r="K59" s="106">
        <v>44280</v>
      </c>
      <c r="L59" s="98">
        <v>502.86</v>
      </c>
      <c r="M59">
        <v>443</v>
      </c>
      <c r="N59">
        <f t="shared" si="1"/>
        <v>222766.98</v>
      </c>
      <c r="O59">
        <v>27239</v>
      </c>
      <c r="Q59" s="99">
        <v>44481</v>
      </c>
      <c r="R59" s="105">
        <v>4350.6400000000003</v>
      </c>
    </row>
    <row r="60" spans="1:18" x14ac:dyDescent="0.3">
      <c r="A60" s="99">
        <v>44281</v>
      </c>
      <c r="B60">
        <v>107.25</v>
      </c>
      <c r="C60">
        <v>1178</v>
      </c>
      <c r="D60">
        <f t="shared" si="0"/>
        <v>126340.5</v>
      </c>
      <c r="E60" s="100">
        <v>36026</v>
      </c>
      <c r="K60" s="106">
        <v>44281</v>
      </c>
      <c r="L60" s="98">
        <v>508.05</v>
      </c>
      <c r="M60">
        <v>443</v>
      </c>
      <c r="N60">
        <f t="shared" si="1"/>
        <v>225066.15</v>
      </c>
      <c r="O60">
        <v>27239</v>
      </c>
      <c r="Q60" s="99">
        <v>44480</v>
      </c>
      <c r="R60" s="105">
        <v>4361.1899999999996</v>
      </c>
    </row>
    <row r="61" spans="1:18" x14ac:dyDescent="0.3">
      <c r="A61" s="99">
        <v>44284</v>
      </c>
      <c r="B61">
        <v>109.010002</v>
      </c>
      <c r="C61">
        <v>1178</v>
      </c>
      <c r="D61">
        <f t="shared" si="0"/>
        <v>128413.782356</v>
      </c>
      <c r="E61" s="100">
        <v>36026</v>
      </c>
      <c r="K61" s="106">
        <v>44284</v>
      </c>
      <c r="L61" s="98">
        <v>513.95000000000005</v>
      </c>
      <c r="M61">
        <v>443</v>
      </c>
      <c r="N61">
        <f t="shared" si="1"/>
        <v>227679.85</v>
      </c>
      <c r="O61">
        <v>27239</v>
      </c>
      <c r="Q61" s="99">
        <v>44477</v>
      </c>
      <c r="R61" s="105">
        <v>4391.3599999999997</v>
      </c>
    </row>
    <row r="62" spans="1:18" x14ac:dyDescent="0.3">
      <c r="A62" s="99">
        <v>44285</v>
      </c>
      <c r="B62">
        <v>108.41999800000001</v>
      </c>
      <c r="C62">
        <v>1178</v>
      </c>
      <c r="D62">
        <f t="shared" si="0"/>
        <v>127718.75764400001</v>
      </c>
      <c r="E62" s="100">
        <v>36026</v>
      </c>
      <c r="K62" s="106">
        <v>44285</v>
      </c>
      <c r="L62" s="98">
        <v>513.39</v>
      </c>
      <c r="M62">
        <v>443</v>
      </c>
      <c r="N62">
        <f t="shared" si="1"/>
        <v>227431.77</v>
      </c>
      <c r="O62">
        <v>27239</v>
      </c>
      <c r="Q62" s="99">
        <v>44476</v>
      </c>
      <c r="R62" s="105">
        <v>4399.76</v>
      </c>
    </row>
    <row r="63" spans="1:18" x14ac:dyDescent="0.3">
      <c r="A63" s="99">
        <v>44286</v>
      </c>
      <c r="B63">
        <v>110.33000199999999</v>
      </c>
      <c r="C63">
        <v>1178</v>
      </c>
      <c r="D63">
        <f t="shared" si="0"/>
        <v>129968.74235599999</v>
      </c>
      <c r="E63" s="100">
        <v>36026</v>
      </c>
      <c r="K63" s="106">
        <v>44286</v>
      </c>
      <c r="L63" s="98">
        <v>521.66</v>
      </c>
      <c r="M63">
        <v>443</v>
      </c>
      <c r="N63">
        <f t="shared" si="1"/>
        <v>231095.37999999998</v>
      </c>
      <c r="O63">
        <v>27239</v>
      </c>
      <c r="Q63" s="99">
        <v>44475</v>
      </c>
      <c r="R63" s="105">
        <v>4363.55</v>
      </c>
    </row>
    <row r="64" spans="1:18" x14ac:dyDescent="0.3">
      <c r="A64" s="99">
        <v>44287</v>
      </c>
      <c r="B64">
        <v>110.05999799999999</v>
      </c>
      <c r="C64">
        <v>1179</v>
      </c>
      <c r="D64">
        <f t="shared" si="0"/>
        <v>129760.73764199999</v>
      </c>
      <c r="E64">
        <v>36278</v>
      </c>
      <c r="K64" s="106">
        <v>44287</v>
      </c>
      <c r="L64" s="98">
        <v>539.41999999999996</v>
      </c>
      <c r="M64">
        <v>443</v>
      </c>
      <c r="N64">
        <f t="shared" si="1"/>
        <v>238963.05999999997</v>
      </c>
      <c r="O64">
        <v>27107</v>
      </c>
      <c r="Q64" s="99">
        <v>44474</v>
      </c>
      <c r="R64" s="105">
        <v>4345.72</v>
      </c>
    </row>
    <row r="65" spans="1:18" x14ac:dyDescent="0.3">
      <c r="A65" s="99">
        <v>44291</v>
      </c>
      <c r="B65">
        <v>109.910004</v>
      </c>
      <c r="C65">
        <v>1179</v>
      </c>
      <c r="D65">
        <f t="shared" si="0"/>
        <v>129583.894716</v>
      </c>
      <c r="E65">
        <v>36278</v>
      </c>
      <c r="K65" s="106">
        <v>44291</v>
      </c>
      <c r="L65" s="98">
        <v>540.66999999999996</v>
      </c>
      <c r="M65">
        <v>443</v>
      </c>
      <c r="N65">
        <f t="shared" si="1"/>
        <v>239516.80999999997</v>
      </c>
      <c r="O65">
        <v>27107</v>
      </c>
      <c r="Q65" s="99">
        <v>44473</v>
      </c>
      <c r="R65" s="105">
        <v>4300.46</v>
      </c>
    </row>
    <row r="66" spans="1:18" x14ac:dyDescent="0.3">
      <c r="A66" s="99">
        <v>44292</v>
      </c>
      <c r="B66">
        <v>111.379997</v>
      </c>
      <c r="C66">
        <v>1179</v>
      </c>
      <c r="D66">
        <f t="shared" si="0"/>
        <v>131317.01646300001</v>
      </c>
      <c r="E66">
        <v>36278</v>
      </c>
      <c r="K66" s="106">
        <v>44292</v>
      </c>
      <c r="L66" s="98">
        <v>544.53</v>
      </c>
      <c r="M66">
        <v>443</v>
      </c>
      <c r="N66">
        <f t="shared" si="1"/>
        <v>241226.78999999998</v>
      </c>
      <c r="O66">
        <v>27107</v>
      </c>
      <c r="Q66" s="99">
        <v>44470</v>
      </c>
      <c r="R66" s="105">
        <v>4357.05</v>
      </c>
    </row>
    <row r="67" spans="1:18" x14ac:dyDescent="0.3">
      <c r="A67" s="99">
        <v>44293</v>
      </c>
      <c r="B67">
        <v>112.910004</v>
      </c>
      <c r="C67">
        <v>1179</v>
      </c>
      <c r="D67">
        <f t="shared" ref="D67:D130" si="2">B67*C67</f>
        <v>133120.89471600001</v>
      </c>
      <c r="E67">
        <v>36278</v>
      </c>
      <c r="K67" s="106">
        <v>44293</v>
      </c>
      <c r="L67" s="98">
        <v>546.99</v>
      </c>
      <c r="M67">
        <v>443</v>
      </c>
      <c r="N67">
        <f t="shared" ref="N67:N130" si="3">L67*M67</f>
        <v>242316.57</v>
      </c>
      <c r="O67">
        <v>27107</v>
      </c>
      <c r="Q67" s="99">
        <v>44469</v>
      </c>
      <c r="R67" s="105">
        <v>4307.54</v>
      </c>
    </row>
    <row r="68" spans="1:18" x14ac:dyDescent="0.3">
      <c r="A68" s="99">
        <v>44294</v>
      </c>
      <c r="B68">
        <v>113.650002</v>
      </c>
      <c r="C68">
        <v>1179</v>
      </c>
      <c r="D68">
        <f t="shared" si="2"/>
        <v>133993.352358</v>
      </c>
      <c r="E68">
        <v>36278</v>
      </c>
      <c r="K68" s="106">
        <v>44294</v>
      </c>
      <c r="L68" s="98">
        <v>554.58000000000004</v>
      </c>
      <c r="M68">
        <v>443</v>
      </c>
      <c r="N68">
        <f t="shared" si="3"/>
        <v>245678.94000000003</v>
      </c>
      <c r="O68">
        <v>27107</v>
      </c>
      <c r="Q68" s="99">
        <v>44468</v>
      </c>
      <c r="R68" s="105">
        <v>4359.46</v>
      </c>
    </row>
    <row r="69" spans="1:18" x14ac:dyDescent="0.3">
      <c r="A69" s="99">
        <v>44295</v>
      </c>
      <c r="B69">
        <v>112.910004</v>
      </c>
      <c r="C69">
        <v>1179</v>
      </c>
      <c r="D69">
        <f t="shared" si="2"/>
        <v>133120.89471600001</v>
      </c>
      <c r="E69">
        <v>36278</v>
      </c>
      <c r="K69" s="106">
        <v>44295</v>
      </c>
      <c r="L69" s="98">
        <v>555.30999999999995</v>
      </c>
      <c r="M69">
        <v>443</v>
      </c>
      <c r="N69">
        <f t="shared" si="3"/>
        <v>246002.33</v>
      </c>
      <c r="O69">
        <v>27107</v>
      </c>
      <c r="Q69" s="99">
        <v>44467</v>
      </c>
      <c r="R69" s="105">
        <v>4352.63</v>
      </c>
    </row>
    <row r="70" spans="1:18" x14ac:dyDescent="0.3">
      <c r="A70" s="99">
        <v>44298</v>
      </c>
      <c r="B70">
        <v>113.019997</v>
      </c>
      <c r="C70">
        <v>1179</v>
      </c>
      <c r="D70">
        <f t="shared" si="2"/>
        <v>133250.576463</v>
      </c>
      <c r="E70">
        <v>36278</v>
      </c>
      <c r="K70" s="106">
        <v>44298</v>
      </c>
      <c r="L70" s="98">
        <v>552.78</v>
      </c>
      <c r="M70">
        <v>443</v>
      </c>
      <c r="N70">
        <f t="shared" si="3"/>
        <v>244881.53999999998</v>
      </c>
      <c r="O70">
        <v>27107</v>
      </c>
      <c r="Q70" s="99">
        <v>44466</v>
      </c>
      <c r="R70" s="105">
        <v>4443.1099999999997</v>
      </c>
    </row>
    <row r="71" spans="1:18" x14ac:dyDescent="0.3">
      <c r="A71" s="99">
        <v>44299</v>
      </c>
      <c r="B71">
        <v>113.779999</v>
      </c>
      <c r="C71">
        <v>1179</v>
      </c>
      <c r="D71">
        <f t="shared" si="2"/>
        <v>134146.61882100001</v>
      </c>
      <c r="E71">
        <v>36278</v>
      </c>
      <c r="K71" s="106">
        <v>44299</v>
      </c>
      <c r="L71" s="98">
        <v>553.73</v>
      </c>
      <c r="M71">
        <v>443</v>
      </c>
      <c r="N71">
        <f t="shared" si="3"/>
        <v>245302.39</v>
      </c>
      <c r="O71">
        <v>27107</v>
      </c>
      <c r="Q71" s="99">
        <v>44463</v>
      </c>
      <c r="R71" s="105">
        <v>4455.4799999999996</v>
      </c>
    </row>
    <row r="72" spans="1:18" x14ac:dyDescent="0.3">
      <c r="A72" s="99">
        <v>44300</v>
      </c>
      <c r="B72">
        <v>115.220001</v>
      </c>
      <c r="C72">
        <v>1179</v>
      </c>
      <c r="D72">
        <f t="shared" si="2"/>
        <v>135844.38117899999</v>
      </c>
      <c r="E72">
        <v>36278</v>
      </c>
      <c r="K72" s="106">
        <v>44300</v>
      </c>
      <c r="L72" s="98">
        <v>540.02</v>
      </c>
      <c r="M72">
        <v>443</v>
      </c>
      <c r="N72">
        <f t="shared" si="3"/>
        <v>239228.86</v>
      </c>
      <c r="O72">
        <v>27107</v>
      </c>
      <c r="Q72" s="99">
        <v>44462</v>
      </c>
      <c r="R72" s="105">
        <v>4448.9799999999996</v>
      </c>
    </row>
    <row r="73" spans="1:18" x14ac:dyDescent="0.3">
      <c r="A73" s="99">
        <v>44301</v>
      </c>
      <c r="B73">
        <v>115.099998</v>
      </c>
      <c r="C73">
        <v>1179</v>
      </c>
      <c r="D73">
        <f t="shared" si="2"/>
        <v>135702.897642</v>
      </c>
      <c r="E73">
        <v>36278</v>
      </c>
      <c r="K73" s="106">
        <v>44301</v>
      </c>
      <c r="L73" s="98">
        <v>549.22</v>
      </c>
      <c r="M73">
        <v>443</v>
      </c>
      <c r="N73">
        <f t="shared" si="3"/>
        <v>243304.46000000002</v>
      </c>
      <c r="O73">
        <v>27107</v>
      </c>
      <c r="Q73" s="99">
        <v>44461</v>
      </c>
      <c r="R73" s="105">
        <v>4395.6400000000003</v>
      </c>
    </row>
    <row r="74" spans="1:18" x14ac:dyDescent="0.3">
      <c r="A74" s="99">
        <v>44302</v>
      </c>
      <c r="B74">
        <v>117.82</v>
      </c>
      <c r="C74">
        <v>1179</v>
      </c>
      <c r="D74">
        <f t="shared" si="2"/>
        <v>138909.78</v>
      </c>
      <c r="E74">
        <v>36278</v>
      </c>
      <c r="K74" s="106">
        <v>44302</v>
      </c>
      <c r="L74" s="98">
        <v>546.54</v>
      </c>
      <c r="M74">
        <v>443</v>
      </c>
      <c r="N74">
        <f t="shared" si="3"/>
        <v>242117.21999999997</v>
      </c>
      <c r="O74">
        <v>27107</v>
      </c>
      <c r="Q74" s="99">
        <v>44460</v>
      </c>
      <c r="R74" s="105">
        <v>4354.18</v>
      </c>
    </row>
    <row r="75" spans="1:18" x14ac:dyDescent="0.3">
      <c r="A75" s="99">
        <v>44305</v>
      </c>
      <c r="B75">
        <v>118.16999800000001</v>
      </c>
      <c r="C75">
        <v>1179</v>
      </c>
      <c r="D75">
        <f t="shared" si="2"/>
        <v>139322.427642</v>
      </c>
      <c r="E75">
        <v>36278</v>
      </c>
      <c r="K75" s="106">
        <v>44305</v>
      </c>
      <c r="L75" s="98">
        <v>554.44000000000005</v>
      </c>
      <c r="M75">
        <v>443</v>
      </c>
      <c r="N75">
        <f t="shared" si="3"/>
        <v>245616.92</v>
      </c>
      <c r="O75">
        <v>27107</v>
      </c>
      <c r="Q75" s="99">
        <v>44459</v>
      </c>
      <c r="R75" s="105">
        <v>4357.7299999999996</v>
      </c>
    </row>
    <row r="76" spans="1:18" x14ac:dyDescent="0.3">
      <c r="A76" s="99">
        <v>44306</v>
      </c>
      <c r="B76">
        <v>116.959999</v>
      </c>
      <c r="C76">
        <v>1179</v>
      </c>
      <c r="D76">
        <f t="shared" si="2"/>
        <v>137895.83882099998</v>
      </c>
      <c r="E76">
        <v>36278</v>
      </c>
      <c r="K76" s="106">
        <v>44306</v>
      </c>
      <c r="L76" s="98">
        <v>549.57000000000005</v>
      </c>
      <c r="M76">
        <v>443</v>
      </c>
      <c r="N76">
        <f t="shared" si="3"/>
        <v>243459.51</v>
      </c>
      <c r="O76">
        <v>27107</v>
      </c>
      <c r="Q76" s="99">
        <v>44456</v>
      </c>
      <c r="R76" s="105">
        <v>4432.99</v>
      </c>
    </row>
    <row r="77" spans="1:18" x14ac:dyDescent="0.3">
      <c r="A77" s="99">
        <v>44307</v>
      </c>
      <c r="B77">
        <v>116.089996</v>
      </c>
      <c r="C77">
        <v>1179</v>
      </c>
      <c r="D77">
        <f t="shared" si="2"/>
        <v>136870.10528399999</v>
      </c>
      <c r="E77">
        <v>36278</v>
      </c>
      <c r="K77" s="106">
        <v>44307</v>
      </c>
      <c r="L77" s="98">
        <v>508.9</v>
      </c>
      <c r="M77">
        <v>443</v>
      </c>
      <c r="N77">
        <f t="shared" si="3"/>
        <v>225442.69999999998</v>
      </c>
      <c r="O77">
        <v>27107</v>
      </c>
      <c r="Q77" s="99">
        <v>44455</v>
      </c>
      <c r="R77" s="105">
        <v>4473.76</v>
      </c>
    </row>
    <row r="78" spans="1:18" x14ac:dyDescent="0.3">
      <c r="A78" s="99">
        <v>44308</v>
      </c>
      <c r="B78">
        <v>116.870003</v>
      </c>
      <c r="C78">
        <v>1179</v>
      </c>
      <c r="D78">
        <f t="shared" si="2"/>
        <v>137789.73353699999</v>
      </c>
      <c r="E78">
        <v>36278</v>
      </c>
      <c r="K78" s="106">
        <v>44308</v>
      </c>
      <c r="L78" s="98">
        <v>508.78</v>
      </c>
      <c r="M78">
        <v>443</v>
      </c>
      <c r="N78">
        <f t="shared" si="3"/>
        <v>225389.53999999998</v>
      </c>
      <c r="O78">
        <v>27107</v>
      </c>
      <c r="Q78" s="99">
        <v>44454</v>
      </c>
      <c r="R78" s="105">
        <v>4480.7</v>
      </c>
    </row>
    <row r="79" spans="1:18" x14ac:dyDescent="0.3">
      <c r="A79" s="99">
        <v>44309</v>
      </c>
      <c r="B79">
        <v>116.019997</v>
      </c>
      <c r="C79">
        <v>1179</v>
      </c>
      <c r="D79">
        <f t="shared" si="2"/>
        <v>136787.576463</v>
      </c>
      <c r="E79">
        <v>36278</v>
      </c>
      <c r="K79" s="106">
        <v>44309</v>
      </c>
      <c r="L79" s="98">
        <v>505.55</v>
      </c>
      <c r="M79">
        <v>443</v>
      </c>
      <c r="N79">
        <f t="shared" si="3"/>
        <v>223958.65</v>
      </c>
      <c r="O79">
        <v>27107</v>
      </c>
      <c r="Q79" s="99">
        <v>44453</v>
      </c>
      <c r="R79" s="105">
        <v>4443.05</v>
      </c>
    </row>
    <row r="80" spans="1:18" x14ac:dyDescent="0.3">
      <c r="A80" s="99">
        <v>44312</v>
      </c>
      <c r="B80">
        <v>116.949997</v>
      </c>
      <c r="C80">
        <v>1179</v>
      </c>
      <c r="D80">
        <f t="shared" si="2"/>
        <v>137884.04646300001</v>
      </c>
      <c r="E80">
        <v>36278</v>
      </c>
      <c r="K80" s="106">
        <v>44312</v>
      </c>
      <c r="L80" s="98">
        <v>510.3</v>
      </c>
      <c r="M80">
        <v>443</v>
      </c>
      <c r="N80">
        <f t="shared" si="3"/>
        <v>226062.9</v>
      </c>
      <c r="O80">
        <v>27107</v>
      </c>
      <c r="Q80" s="99">
        <v>44452</v>
      </c>
      <c r="R80" s="105">
        <v>4468.7299999999996</v>
      </c>
    </row>
    <row r="81" spans="1:18" x14ac:dyDescent="0.3">
      <c r="A81" s="99">
        <v>44313</v>
      </c>
      <c r="B81">
        <v>115.66999800000001</v>
      </c>
      <c r="C81">
        <v>1179</v>
      </c>
      <c r="D81">
        <f t="shared" si="2"/>
        <v>136374.927642</v>
      </c>
      <c r="E81">
        <v>36278</v>
      </c>
      <c r="K81" s="106">
        <v>44313</v>
      </c>
      <c r="L81" s="98">
        <v>505.55</v>
      </c>
      <c r="M81">
        <v>443</v>
      </c>
      <c r="N81">
        <f t="shared" si="3"/>
        <v>223958.65</v>
      </c>
      <c r="O81">
        <v>27107</v>
      </c>
      <c r="Q81" s="99">
        <v>44449</v>
      </c>
      <c r="R81" s="105">
        <v>4458.58</v>
      </c>
    </row>
    <row r="82" spans="1:18" x14ac:dyDescent="0.3">
      <c r="A82" s="99">
        <v>44314</v>
      </c>
      <c r="B82">
        <v>113.44000200000001</v>
      </c>
      <c r="C82">
        <v>1179</v>
      </c>
      <c r="D82">
        <f t="shared" si="2"/>
        <v>133745.76235800001</v>
      </c>
      <c r="E82">
        <v>36278</v>
      </c>
      <c r="K82" s="106">
        <v>44314</v>
      </c>
      <c r="L82" s="98">
        <v>506.52</v>
      </c>
      <c r="M82">
        <v>443</v>
      </c>
      <c r="N82">
        <f t="shared" si="3"/>
        <v>224388.36</v>
      </c>
      <c r="O82">
        <v>27107</v>
      </c>
      <c r="Q82" s="99">
        <v>44448</v>
      </c>
      <c r="R82" s="105">
        <v>4493.28</v>
      </c>
    </row>
    <row r="83" spans="1:18" x14ac:dyDescent="0.3">
      <c r="A83" s="99">
        <v>44315</v>
      </c>
      <c r="B83">
        <v>113.209999</v>
      </c>
      <c r="C83">
        <v>1179</v>
      </c>
      <c r="D83">
        <f t="shared" si="2"/>
        <v>133474.58882099998</v>
      </c>
      <c r="E83">
        <v>36278</v>
      </c>
      <c r="K83" s="106">
        <v>44315</v>
      </c>
      <c r="L83" s="98">
        <v>509</v>
      </c>
      <c r="M83">
        <v>443</v>
      </c>
      <c r="N83">
        <f t="shared" si="3"/>
        <v>225487</v>
      </c>
      <c r="O83">
        <v>27107</v>
      </c>
      <c r="Q83" s="99">
        <v>44447</v>
      </c>
      <c r="R83" s="105">
        <v>4514.07</v>
      </c>
    </row>
    <row r="84" spans="1:18" x14ac:dyDescent="0.3">
      <c r="A84" s="99">
        <v>44316</v>
      </c>
      <c r="B84">
        <v>114</v>
      </c>
      <c r="C84">
        <v>1179</v>
      </c>
      <c r="D84">
        <f t="shared" si="2"/>
        <v>134406</v>
      </c>
      <c r="E84">
        <v>36278</v>
      </c>
      <c r="K84" s="106">
        <v>44316</v>
      </c>
      <c r="L84" s="98">
        <v>513.47</v>
      </c>
      <c r="M84">
        <v>443</v>
      </c>
      <c r="N84">
        <f t="shared" si="3"/>
        <v>227467.21000000002</v>
      </c>
      <c r="O84">
        <v>27107</v>
      </c>
      <c r="Q84" s="99">
        <v>44446</v>
      </c>
      <c r="R84" s="105">
        <v>4520.03</v>
      </c>
    </row>
    <row r="85" spans="1:18" x14ac:dyDescent="0.3">
      <c r="A85" s="99">
        <v>44319</v>
      </c>
      <c r="B85">
        <v>115.18</v>
      </c>
      <c r="C85">
        <v>1179</v>
      </c>
      <c r="D85">
        <f t="shared" si="2"/>
        <v>135797.22</v>
      </c>
      <c r="E85">
        <v>36278</v>
      </c>
      <c r="K85" s="106">
        <v>44319</v>
      </c>
      <c r="L85" s="98">
        <v>509.11</v>
      </c>
      <c r="M85">
        <v>443</v>
      </c>
      <c r="N85">
        <f t="shared" si="3"/>
        <v>225535.73</v>
      </c>
      <c r="O85">
        <v>27107</v>
      </c>
      <c r="Q85" s="99">
        <v>44442</v>
      </c>
      <c r="R85" s="105">
        <v>4535.43</v>
      </c>
    </row>
    <row r="86" spans="1:18" x14ac:dyDescent="0.3">
      <c r="A86" s="99">
        <v>44320</v>
      </c>
      <c r="B86">
        <v>115.150002</v>
      </c>
      <c r="C86">
        <v>1179</v>
      </c>
      <c r="D86">
        <f t="shared" si="2"/>
        <v>135761.852358</v>
      </c>
      <c r="E86">
        <v>36278</v>
      </c>
      <c r="K86" s="106">
        <v>44320</v>
      </c>
      <c r="L86" s="98">
        <v>503.18</v>
      </c>
      <c r="M86">
        <v>443</v>
      </c>
      <c r="N86">
        <f t="shared" si="3"/>
        <v>222908.74</v>
      </c>
      <c r="O86">
        <v>27107</v>
      </c>
      <c r="Q86" s="99">
        <v>44441</v>
      </c>
      <c r="R86" s="105">
        <v>4536.95</v>
      </c>
    </row>
    <row r="87" spans="1:18" x14ac:dyDescent="0.3">
      <c r="A87" s="99">
        <v>44321</v>
      </c>
      <c r="B87">
        <v>114.209999</v>
      </c>
      <c r="C87">
        <v>1179</v>
      </c>
      <c r="D87">
        <f t="shared" si="2"/>
        <v>134653.58882099998</v>
      </c>
      <c r="E87">
        <v>36278</v>
      </c>
      <c r="K87" s="106">
        <v>44321</v>
      </c>
      <c r="L87" s="98">
        <v>496.08</v>
      </c>
      <c r="M87">
        <v>443</v>
      </c>
      <c r="N87">
        <f t="shared" si="3"/>
        <v>219763.44</v>
      </c>
      <c r="O87">
        <v>27107</v>
      </c>
      <c r="Q87" s="99">
        <v>44440</v>
      </c>
      <c r="R87" s="105">
        <v>4524.09</v>
      </c>
    </row>
    <row r="88" spans="1:18" x14ac:dyDescent="0.3">
      <c r="A88" s="99">
        <v>44322</v>
      </c>
      <c r="B88">
        <v>113.650002</v>
      </c>
      <c r="C88">
        <v>1179</v>
      </c>
      <c r="D88">
        <f t="shared" si="2"/>
        <v>133993.352358</v>
      </c>
      <c r="E88">
        <v>36278</v>
      </c>
      <c r="K88" s="106">
        <v>44322</v>
      </c>
      <c r="L88" s="98">
        <v>499.55</v>
      </c>
      <c r="M88">
        <v>443</v>
      </c>
      <c r="N88">
        <f t="shared" si="3"/>
        <v>221300.65</v>
      </c>
      <c r="O88">
        <v>27107</v>
      </c>
      <c r="Q88" s="99">
        <v>44439</v>
      </c>
      <c r="R88" s="105">
        <v>4522.68</v>
      </c>
    </row>
    <row r="89" spans="1:18" x14ac:dyDescent="0.3">
      <c r="A89" s="99">
        <v>44323</v>
      </c>
      <c r="B89">
        <v>115.110001</v>
      </c>
      <c r="C89">
        <v>1179</v>
      </c>
      <c r="D89">
        <f t="shared" si="2"/>
        <v>135714.69117899999</v>
      </c>
      <c r="E89">
        <v>36278</v>
      </c>
      <c r="K89" s="106">
        <v>44323</v>
      </c>
      <c r="L89" s="98">
        <v>503.84</v>
      </c>
      <c r="M89">
        <v>443</v>
      </c>
      <c r="N89">
        <f t="shared" si="3"/>
        <v>223201.12</v>
      </c>
      <c r="O89">
        <v>27107</v>
      </c>
      <c r="Q89" s="99">
        <v>44438</v>
      </c>
      <c r="R89" s="105">
        <v>4528.79</v>
      </c>
    </row>
    <row r="90" spans="1:18" x14ac:dyDescent="0.3">
      <c r="A90" s="99">
        <v>44326</v>
      </c>
      <c r="B90">
        <v>114.57</v>
      </c>
      <c r="C90">
        <v>1179</v>
      </c>
      <c r="D90">
        <f t="shared" si="2"/>
        <v>135078.03</v>
      </c>
      <c r="E90">
        <v>36278</v>
      </c>
      <c r="K90" s="106">
        <v>44326</v>
      </c>
      <c r="L90" s="98">
        <v>486.69</v>
      </c>
      <c r="M90">
        <v>443</v>
      </c>
      <c r="N90">
        <f t="shared" si="3"/>
        <v>215603.67</v>
      </c>
      <c r="O90">
        <v>27107</v>
      </c>
      <c r="Q90" s="99">
        <v>44435</v>
      </c>
      <c r="R90" s="105">
        <v>4509.37</v>
      </c>
    </row>
    <row r="91" spans="1:18" x14ac:dyDescent="0.3">
      <c r="A91" s="99">
        <v>44327</v>
      </c>
      <c r="B91">
        <v>113.32</v>
      </c>
      <c r="C91">
        <v>1179</v>
      </c>
      <c r="D91">
        <f t="shared" si="2"/>
        <v>133604.28</v>
      </c>
      <c r="E91">
        <v>36278</v>
      </c>
      <c r="K91" s="106">
        <v>44327</v>
      </c>
      <c r="L91" s="98">
        <v>495.08</v>
      </c>
      <c r="M91">
        <v>443</v>
      </c>
      <c r="N91">
        <f t="shared" si="3"/>
        <v>219320.44</v>
      </c>
      <c r="O91">
        <v>27107</v>
      </c>
      <c r="Q91" s="99">
        <v>44434</v>
      </c>
      <c r="R91" s="105">
        <v>4469.91</v>
      </c>
    </row>
    <row r="92" spans="1:18" x14ac:dyDescent="0.3">
      <c r="A92" s="99">
        <v>44328</v>
      </c>
      <c r="B92">
        <v>111.870003</v>
      </c>
      <c r="C92">
        <v>1179</v>
      </c>
      <c r="D92">
        <f t="shared" si="2"/>
        <v>131894.73353699999</v>
      </c>
      <c r="E92">
        <v>36278</v>
      </c>
      <c r="K92" s="106">
        <v>44328</v>
      </c>
      <c r="L92" s="98">
        <v>484.98</v>
      </c>
      <c r="M92">
        <v>443</v>
      </c>
      <c r="N92">
        <f t="shared" si="3"/>
        <v>214846.14</v>
      </c>
      <c r="O92">
        <v>27107</v>
      </c>
      <c r="Q92" s="99">
        <v>44433</v>
      </c>
      <c r="R92" s="105">
        <v>4496.1899999999996</v>
      </c>
    </row>
    <row r="93" spans="1:18" x14ac:dyDescent="0.3">
      <c r="A93" s="99">
        <v>44329</v>
      </c>
      <c r="B93">
        <v>110.160004</v>
      </c>
      <c r="C93">
        <v>1179</v>
      </c>
      <c r="D93">
        <f t="shared" si="2"/>
        <v>129878.644716</v>
      </c>
      <c r="E93">
        <v>36278</v>
      </c>
      <c r="K93" s="106">
        <v>44329</v>
      </c>
      <c r="L93" s="98">
        <v>486.66</v>
      </c>
      <c r="M93">
        <v>443</v>
      </c>
      <c r="N93">
        <f t="shared" si="3"/>
        <v>215590.38</v>
      </c>
      <c r="O93">
        <v>27107</v>
      </c>
      <c r="Q93" s="99">
        <v>44432</v>
      </c>
      <c r="R93" s="105">
        <v>4486.2299999999996</v>
      </c>
    </row>
    <row r="94" spans="1:18" x14ac:dyDescent="0.3">
      <c r="A94" s="99">
        <v>44330</v>
      </c>
      <c r="B94">
        <v>111.010002</v>
      </c>
      <c r="C94">
        <v>1179</v>
      </c>
      <c r="D94">
        <f t="shared" si="2"/>
        <v>130880.79235800001</v>
      </c>
      <c r="E94">
        <v>36278</v>
      </c>
      <c r="K94" s="106">
        <v>44330</v>
      </c>
      <c r="L94" s="98">
        <v>493.37</v>
      </c>
      <c r="M94">
        <v>443</v>
      </c>
      <c r="N94">
        <f t="shared" si="3"/>
        <v>218562.91</v>
      </c>
      <c r="O94">
        <v>27107</v>
      </c>
      <c r="Q94" s="99">
        <v>44431</v>
      </c>
      <c r="R94" s="105">
        <v>4479.54</v>
      </c>
    </row>
    <row r="95" spans="1:18" x14ac:dyDescent="0.3">
      <c r="A95" s="99">
        <v>44333</v>
      </c>
      <c r="B95">
        <v>111.220001</v>
      </c>
      <c r="C95">
        <v>1179</v>
      </c>
      <c r="D95">
        <f t="shared" si="2"/>
        <v>131128.38117899999</v>
      </c>
      <c r="E95">
        <v>36278</v>
      </c>
      <c r="K95" s="106">
        <v>44333</v>
      </c>
      <c r="L95" s="98">
        <v>488.94</v>
      </c>
      <c r="M95">
        <v>443</v>
      </c>
      <c r="N95">
        <f t="shared" si="3"/>
        <v>216600.42</v>
      </c>
      <c r="O95">
        <v>27107</v>
      </c>
      <c r="Q95" s="99">
        <v>44428</v>
      </c>
      <c r="R95" s="105">
        <v>4441.67</v>
      </c>
    </row>
    <row r="96" spans="1:18" x14ac:dyDescent="0.3">
      <c r="A96" s="99">
        <v>44334</v>
      </c>
      <c r="B96">
        <v>111.370003</v>
      </c>
      <c r="C96">
        <v>1179</v>
      </c>
      <c r="D96">
        <f t="shared" si="2"/>
        <v>131305.23353699999</v>
      </c>
      <c r="E96">
        <v>36278</v>
      </c>
      <c r="K96" s="106">
        <v>44334</v>
      </c>
      <c r="L96" s="98">
        <v>486.28</v>
      </c>
      <c r="M96">
        <v>443</v>
      </c>
      <c r="N96">
        <f t="shared" si="3"/>
        <v>215422.03999999998</v>
      </c>
      <c r="O96">
        <v>27107</v>
      </c>
      <c r="Q96" s="99">
        <v>44427</v>
      </c>
      <c r="R96" s="105">
        <v>4405.8</v>
      </c>
    </row>
    <row r="97" spans="1:18" x14ac:dyDescent="0.3">
      <c r="A97" s="99">
        <v>44335</v>
      </c>
      <c r="B97">
        <v>109.599998</v>
      </c>
      <c r="C97">
        <v>1179</v>
      </c>
      <c r="D97">
        <f t="shared" si="2"/>
        <v>129218.397642</v>
      </c>
      <c r="E97">
        <v>36278</v>
      </c>
      <c r="K97" s="106">
        <v>44335</v>
      </c>
      <c r="L97" s="98">
        <v>487.7</v>
      </c>
      <c r="M97">
        <v>443</v>
      </c>
      <c r="N97">
        <f t="shared" si="3"/>
        <v>216051.1</v>
      </c>
      <c r="O97">
        <v>27107</v>
      </c>
      <c r="Q97" s="99">
        <v>44426</v>
      </c>
      <c r="R97" s="105">
        <v>4400.2700000000004</v>
      </c>
    </row>
    <row r="98" spans="1:18" x14ac:dyDescent="0.3">
      <c r="A98" s="99">
        <v>44336</v>
      </c>
      <c r="B98">
        <v>109.980003</v>
      </c>
      <c r="C98">
        <v>1179</v>
      </c>
      <c r="D98">
        <f t="shared" si="2"/>
        <v>129666.423537</v>
      </c>
      <c r="E98">
        <v>36278</v>
      </c>
      <c r="K98" s="106">
        <v>44336</v>
      </c>
      <c r="L98" s="98">
        <v>501.67</v>
      </c>
      <c r="M98">
        <v>443</v>
      </c>
      <c r="N98">
        <f t="shared" si="3"/>
        <v>222239.81</v>
      </c>
      <c r="O98">
        <v>27107</v>
      </c>
      <c r="Q98" s="99">
        <v>44425</v>
      </c>
      <c r="R98" s="105">
        <v>4448.08</v>
      </c>
    </row>
    <row r="99" spans="1:18" x14ac:dyDescent="0.3">
      <c r="A99" s="99">
        <v>44337</v>
      </c>
      <c r="B99">
        <v>111.629997</v>
      </c>
      <c r="C99">
        <v>1179</v>
      </c>
      <c r="D99">
        <f t="shared" si="2"/>
        <v>131611.76646300001</v>
      </c>
      <c r="E99">
        <v>36278</v>
      </c>
      <c r="K99" s="106">
        <v>44337</v>
      </c>
      <c r="L99" s="98">
        <v>497.89</v>
      </c>
      <c r="M99">
        <v>443</v>
      </c>
      <c r="N99">
        <f t="shared" si="3"/>
        <v>220565.27</v>
      </c>
      <c r="O99">
        <v>27107</v>
      </c>
      <c r="Q99" s="99">
        <v>44424</v>
      </c>
      <c r="R99" s="105">
        <v>4479.66</v>
      </c>
    </row>
    <row r="100" spans="1:18" x14ac:dyDescent="0.3">
      <c r="A100" s="99">
        <v>44340</v>
      </c>
      <c r="B100">
        <v>111.800003</v>
      </c>
      <c r="C100">
        <v>1179</v>
      </c>
      <c r="D100">
        <f t="shared" si="2"/>
        <v>131812.20353699999</v>
      </c>
      <c r="E100">
        <v>36278</v>
      </c>
      <c r="K100" s="106">
        <v>44340</v>
      </c>
      <c r="L100" s="98">
        <v>502.9</v>
      </c>
      <c r="M100">
        <v>443</v>
      </c>
      <c r="N100">
        <f t="shared" si="3"/>
        <v>222784.69999999998</v>
      </c>
      <c r="O100">
        <v>27107</v>
      </c>
      <c r="Q100" s="99">
        <v>44421</v>
      </c>
      <c r="R100" s="105">
        <v>4468</v>
      </c>
    </row>
    <row r="101" spans="1:18" x14ac:dyDescent="0.3">
      <c r="A101" s="99">
        <v>44341</v>
      </c>
      <c r="B101">
        <v>112.91999800000001</v>
      </c>
      <c r="C101">
        <v>1179</v>
      </c>
      <c r="D101">
        <f t="shared" si="2"/>
        <v>133132.677642</v>
      </c>
      <c r="E101">
        <v>36278</v>
      </c>
      <c r="K101" s="106">
        <v>44341</v>
      </c>
      <c r="L101" s="98">
        <v>501.34</v>
      </c>
      <c r="M101">
        <v>443</v>
      </c>
      <c r="N101">
        <f t="shared" si="3"/>
        <v>222093.62</v>
      </c>
      <c r="O101">
        <v>27107</v>
      </c>
      <c r="Q101" s="99">
        <v>44420</v>
      </c>
      <c r="R101" s="105">
        <v>4460.84</v>
      </c>
    </row>
    <row r="102" spans="1:18" x14ac:dyDescent="0.3">
      <c r="A102" s="99">
        <v>44342</v>
      </c>
      <c r="B102">
        <v>113.300003</v>
      </c>
      <c r="C102">
        <v>1179</v>
      </c>
      <c r="D102">
        <f t="shared" si="2"/>
        <v>133580.70353699999</v>
      </c>
      <c r="E102">
        <v>36278</v>
      </c>
      <c r="K102" s="106">
        <v>44342</v>
      </c>
      <c r="L102" s="98">
        <v>502.36</v>
      </c>
      <c r="M102">
        <v>443</v>
      </c>
      <c r="N102">
        <f t="shared" si="3"/>
        <v>222545.48</v>
      </c>
      <c r="O102">
        <v>27107</v>
      </c>
      <c r="Q102" s="99">
        <v>44419</v>
      </c>
      <c r="R102" s="105">
        <v>4447.7</v>
      </c>
    </row>
    <row r="103" spans="1:18" x14ac:dyDescent="0.3">
      <c r="A103" s="99">
        <v>44343</v>
      </c>
      <c r="B103">
        <v>113.470001</v>
      </c>
      <c r="C103">
        <v>1179</v>
      </c>
      <c r="D103">
        <f t="shared" si="2"/>
        <v>133781.13117899999</v>
      </c>
      <c r="E103">
        <v>36278</v>
      </c>
      <c r="K103" s="106">
        <v>44343</v>
      </c>
      <c r="L103" s="98">
        <v>503.86</v>
      </c>
      <c r="M103">
        <v>443</v>
      </c>
      <c r="N103">
        <f t="shared" si="3"/>
        <v>223209.98</v>
      </c>
      <c r="O103">
        <v>27107</v>
      </c>
      <c r="Q103" s="99">
        <v>44418</v>
      </c>
      <c r="R103" s="105">
        <v>4436.75</v>
      </c>
    </row>
    <row r="104" spans="1:18" x14ac:dyDescent="0.3">
      <c r="A104" s="99">
        <v>44344</v>
      </c>
      <c r="B104">
        <v>114.349998</v>
      </c>
      <c r="C104">
        <v>1179</v>
      </c>
      <c r="D104">
        <f t="shared" si="2"/>
        <v>134818.647642</v>
      </c>
      <c r="E104">
        <v>36278</v>
      </c>
      <c r="K104" s="106">
        <v>44344</v>
      </c>
      <c r="L104" s="98">
        <v>502.81</v>
      </c>
      <c r="M104">
        <v>443</v>
      </c>
      <c r="N104">
        <f t="shared" si="3"/>
        <v>222744.83</v>
      </c>
      <c r="O104">
        <v>27107</v>
      </c>
      <c r="Q104" s="99">
        <v>44417</v>
      </c>
      <c r="R104" s="105">
        <v>4432.3500000000004</v>
      </c>
    </row>
    <row r="105" spans="1:18" x14ac:dyDescent="0.3">
      <c r="A105" s="99">
        <v>44348</v>
      </c>
      <c r="B105">
        <v>114.55999799999999</v>
      </c>
      <c r="C105">
        <v>1179</v>
      </c>
      <c r="D105">
        <f t="shared" si="2"/>
        <v>135066.23764199999</v>
      </c>
      <c r="E105">
        <v>36278</v>
      </c>
      <c r="K105" s="106">
        <v>44348</v>
      </c>
      <c r="L105" s="98">
        <v>499.08</v>
      </c>
      <c r="M105">
        <v>443</v>
      </c>
      <c r="N105">
        <f t="shared" si="3"/>
        <v>221092.44</v>
      </c>
      <c r="O105">
        <v>27107</v>
      </c>
      <c r="Q105" s="99">
        <v>44414</v>
      </c>
      <c r="R105" s="105">
        <v>4436.5200000000004</v>
      </c>
    </row>
    <row r="106" spans="1:18" x14ac:dyDescent="0.3">
      <c r="A106" s="99">
        <v>44349</v>
      </c>
      <c r="B106">
        <v>113.709999</v>
      </c>
      <c r="C106">
        <v>1179</v>
      </c>
      <c r="D106">
        <f t="shared" si="2"/>
        <v>134064.08882099998</v>
      </c>
      <c r="E106">
        <v>36278</v>
      </c>
      <c r="K106" s="106">
        <v>44349</v>
      </c>
      <c r="L106" s="98">
        <v>499.24</v>
      </c>
      <c r="M106">
        <v>443</v>
      </c>
      <c r="N106">
        <f t="shared" si="3"/>
        <v>221163.32</v>
      </c>
      <c r="O106">
        <v>27107</v>
      </c>
      <c r="Q106" s="99">
        <v>44413</v>
      </c>
      <c r="R106" s="105">
        <v>4429.1000000000004</v>
      </c>
    </row>
    <row r="107" spans="1:18" x14ac:dyDescent="0.3">
      <c r="A107" s="99">
        <v>44350</v>
      </c>
      <c r="B107">
        <v>112.010002</v>
      </c>
      <c r="C107">
        <v>1179</v>
      </c>
      <c r="D107">
        <f t="shared" si="2"/>
        <v>132059.79235800001</v>
      </c>
      <c r="E107">
        <v>36278</v>
      </c>
      <c r="K107" s="106">
        <v>44350</v>
      </c>
      <c r="L107" s="98">
        <v>489.43</v>
      </c>
      <c r="M107">
        <v>443</v>
      </c>
      <c r="N107">
        <f t="shared" si="3"/>
        <v>216817.49</v>
      </c>
      <c r="O107">
        <v>27107</v>
      </c>
      <c r="Q107" s="99">
        <v>44412</v>
      </c>
      <c r="R107" s="105">
        <v>4402.68</v>
      </c>
    </row>
    <row r="108" spans="1:18" x14ac:dyDescent="0.3">
      <c r="A108" s="99">
        <v>44351</v>
      </c>
      <c r="B108">
        <v>111.620003</v>
      </c>
      <c r="C108">
        <v>1179</v>
      </c>
      <c r="D108">
        <f t="shared" si="2"/>
        <v>131599.98353699999</v>
      </c>
      <c r="E108">
        <v>36278</v>
      </c>
      <c r="K108" s="106">
        <v>44351</v>
      </c>
      <c r="L108" s="98">
        <v>494.74</v>
      </c>
      <c r="M108">
        <v>443</v>
      </c>
      <c r="N108">
        <f t="shared" si="3"/>
        <v>219169.82</v>
      </c>
      <c r="O108">
        <v>27107</v>
      </c>
      <c r="Q108" s="99">
        <v>44411</v>
      </c>
      <c r="R108" s="105">
        <v>4423.1499999999996</v>
      </c>
    </row>
    <row r="109" spans="1:18" x14ac:dyDescent="0.3">
      <c r="A109" s="99">
        <v>44354</v>
      </c>
      <c r="B109">
        <v>111.980003</v>
      </c>
      <c r="C109">
        <v>1179</v>
      </c>
      <c r="D109">
        <f t="shared" si="2"/>
        <v>132024.423537</v>
      </c>
      <c r="E109">
        <v>36278</v>
      </c>
      <c r="K109" s="106">
        <v>44354</v>
      </c>
      <c r="L109" s="98">
        <v>494.66</v>
      </c>
      <c r="M109">
        <v>443</v>
      </c>
      <c r="N109">
        <f t="shared" si="3"/>
        <v>219134.38</v>
      </c>
      <c r="O109">
        <v>27107</v>
      </c>
      <c r="Q109" s="99">
        <v>44410</v>
      </c>
      <c r="R109" s="105">
        <v>4387.1099999999997</v>
      </c>
    </row>
    <row r="110" spans="1:18" x14ac:dyDescent="0.3">
      <c r="A110" s="99">
        <v>44355</v>
      </c>
      <c r="B110">
        <v>111.379997</v>
      </c>
      <c r="C110">
        <v>1179</v>
      </c>
      <c r="D110">
        <f t="shared" si="2"/>
        <v>131317.01646300001</v>
      </c>
      <c r="E110">
        <v>36278</v>
      </c>
      <c r="K110" s="106">
        <v>44355</v>
      </c>
      <c r="L110" s="98">
        <v>492.39</v>
      </c>
      <c r="M110">
        <v>443</v>
      </c>
      <c r="N110">
        <f t="shared" si="3"/>
        <v>218128.77</v>
      </c>
      <c r="O110">
        <v>27107</v>
      </c>
      <c r="Q110" s="99">
        <v>44407</v>
      </c>
      <c r="R110" s="105">
        <v>4395.26</v>
      </c>
    </row>
    <row r="111" spans="1:18" x14ac:dyDescent="0.3">
      <c r="A111" s="99">
        <v>44356</v>
      </c>
      <c r="B111">
        <v>111.739998</v>
      </c>
      <c r="C111">
        <v>1179</v>
      </c>
      <c r="D111">
        <f t="shared" si="2"/>
        <v>131741.45764199999</v>
      </c>
      <c r="E111">
        <v>36278</v>
      </c>
      <c r="K111" s="106">
        <v>44356</v>
      </c>
      <c r="L111" s="98">
        <v>485.81</v>
      </c>
      <c r="M111">
        <v>443</v>
      </c>
      <c r="N111">
        <f t="shared" si="3"/>
        <v>215213.83</v>
      </c>
      <c r="O111">
        <v>27107</v>
      </c>
      <c r="Q111" s="99">
        <v>44406</v>
      </c>
      <c r="R111" s="105">
        <v>4419.1499999999996</v>
      </c>
    </row>
    <row r="112" spans="1:18" x14ac:dyDescent="0.3">
      <c r="A112" s="99">
        <v>44357</v>
      </c>
      <c r="B112">
        <v>111.800003</v>
      </c>
      <c r="C112">
        <v>1179</v>
      </c>
      <c r="D112">
        <f t="shared" si="2"/>
        <v>131812.20353699999</v>
      </c>
      <c r="E112">
        <v>36278</v>
      </c>
      <c r="K112" s="106">
        <v>44357</v>
      </c>
      <c r="L112" s="98">
        <v>487.27</v>
      </c>
      <c r="M112">
        <v>443</v>
      </c>
      <c r="N112">
        <f t="shared" si="3"/>
        <v>215860.61</v>
      </c>
      <c r="O112">
        <v>27107</v>
      </c>
      <c r="Q112" s="99">
        <v>44405</v>
      </c>
      <c r="R112" s="105">
        <v>4400.6499999999996</v>
      </c>
    </row>
    <row r="113" spans="1:18" x14ac:dyDescent="0.3">
      <c r="A113" s="99">
        <v>44358</v>
      </c>
      <c r="B113">
        <v>112.279999</v>
      </c>
      <c r="C113">
        <v>1179</v>
      </c>
      <c r="D113">
        <f t="shared" si="2"/>
        <v>132378.11882100001</v>
      </c>
      <c r="E113">
        <v>36278</v>
      </c>
      <c r="K113" s="106">
        <v>44358</v>
      </c>
      <c r="L113" s="98">
        <v>488.77</v>
      </c>
      <c r="M113">
        <v>443</v>
      </c>
      <c r="N113">
        <f t="shared" si="3"/>
        <v>216525.11</v>
      </c>
      <c r="O113">
        <v>27107</v>
      </c>
      <c r="Q113" s="99">
        <v>44404</v>
      </c>
      <c r="R113" s="105">
        <v>4401.46</v>
      </c>
    </row>
    <row r="114" spans="1:18" x14ac:dyDescent="0.3">
      <c r="A114" s="99">
        <v>44361</v>
      </c>
      <c r="B114">
        <v>112.779999</v>
      </c>
      <c r="C114">
        <v>1179</v>
      </c>
      <c r="D114">
        <f t="shared" si="2"/>
        <v>132967.61882100001</v>
      </c>
      <c r="E114">
        <v>36278</v>
      </c>
      <c r="K114" s="106">
        <v>44361</v>
      </c>
      <c r="L114" s="98">
        <v>499.89</v>
      </c>
      <c r="M114">
        <v>443</v>
      </c>
      <c r="N114">
        <f t="shared" si="3"/>
        <v>221451.27</v>
      </c>
      <c r="O114">
        <v>27107</v>
      </c>
      <c r="Q114" s="99">
        <v>44403</v>
      </c>
      <c r="R114" s="105">
        <v>4422.2299999999996</v>
      </c>
    </row>
    <row r="115" spans="1:18" x14ac:dyDescent="0.3">
      <c r="A115" s="99">
        <v>44362</v>
      </c>
      <c r="B115">
        <v>112.459999</v>
      </c>
      <c r="C115">
        <v>1179</v>
      </c>
      <c r="D115">
        <f t="shared" si="2"/>
        <v>132590.33882099998</v>
      </c>
      <c r="E115">
        <v>36278</v>
      </c>
      <c r="K115" s="106">
        <v>44362</v>
      </c>
      <c r="L115" s="98">
        <v>491.9</v>
      </c>
      <c r="M115">
        <v>443</v>
      </c>
      <c r="N115">
        <f t="shared" si="3"/>
        <v>217911.69999999998</v>
      </c>
      <c r="O115">
        <v>27107</v>
      </c>
      <c r="Q115" s="99">
        <v>44400</v>
      </c>
      <c r="R115" s="105">
        <v>4411.8</v>
      </c>
    </row>
    <row r="116" spans="1:18" x14ac:dyDescent="0.3">
      <c r="A116" s="99">
        <v>44363</v>
      </c>
      <c r="B116">
        <v>112.41999800000001</v>
      </c>
      <c r="C116">
        <v>1179</v>
      </c>
      <c r="D116">
        <f t="shared" si="2"/>
        <v>132543.177642</v>
      </c>
      <c r="E116">
        <v>36278</v>
      </c>
      <c r="K116" s="106">
        <v>44363</v>
      </c>
      <c r="L116" s="98">
        <v>492.41</v>
      </c>
      <c r="M116">
        <v>443</v>
      </c>
      <c r="N116">
        <f t="shared" si="3"/>
        <v>218137.63</v>
      </c>
      <c r="O116">
        <v>27107</v>
      </c>
      <c r="Q116" s="99">
        <v>44399</v>
      </c>
      <c r="R116" s="105">
        <v>4367.4799999999996</v>
      </c>
    </row>
    <row r="117" spans="1:18" x14ac:dyDescent="0.3">
      <c r="A117" s="99">
        <v>44364</v>
      </c>
      <c r="B117">
        <v>111</v>
      </c>
      <c r="C117">
        <v>1179</v>
      </c>
      <c r="D117">
        <f t="shared" si="2"/>
        <v>130869</v>
      </c>
      <c r="E117">
        <v>36278</v>
      </c>
      <c r="K117" s="106">
        <v>44364</v>
      </c>
      <c r="L117" s="98">
        <v>498.34</v>
      </c>
      <c r="M117">
        <v>443</v>
      </c>
      <c r="N117">
        <f t="shared" si="3"/>
        <v>220764.62</v>
      </c>
      <c r="O117">
        <v>27107</v>
      </c>
      <c r="Q117" s="99">
        <v>44398</v>
      </c>
      <c r="R117" s="105">
        <v>4358.6899999999996</v>
      </c>
    </row>
    <row r="118" spans="1:18" x14ac:dyDescent="0.3">
      <c r="A118" s="99">
        <v>44365</v>
      </c>
      <c r="B118">
        <v>110.739998</v>
      </c>
      <c r="C118">
        <v>1179</v>
      </c>
      <c r="D118">
        <f t="shared" si="2"/>
        <v>130562.45764199999</v>
      </c>
      <c r="E118">
        <v>36278</v>
      </c>
      <c r="K118" s="106">
        <v>44365</v>
      </c>
      <c r="L118" s="98">
        <v>500.77</v>
      </c>
      <c r="M118">
        <v>443</v>
      </c>
      <c r="N118">
        <f t="shared" si="3"/>
        <v>221841.11</v>
      </c>
      <c r="O118">
        <v>27107</v>
      </c>
      <c r="Q118" s="99">
        <v>44397</v>
      </c>
      <c r="R118" s="105">
        <v>4323.21</v>
      </c>
    </row>
    <row r="119" spans="1:18" x14ac:dyDescent="0.3">
      <c r="A119" s="99">
        <v>44368</v>
      </c>
      <c r="B119">
        <v>110</v>
      </c>
      <c r="C119">
        <v>1179</v>
      </c>
      <c r="D119">
        <f t="shared" si="2"/>
        <v>129690</v>
      </c>
      <c r="E119">
        <v>36278</v>
      </c>
      <c r="K119" s="106">
        <v>44368</v>
      </c>
      <c r="L119" s="98">
        <v>497</v>
      </c>
      <c r="M119">
        <v>443</v>
      </c>
      <c r="N119">
        <f t="shared" si="3"/>
        <v>220171</v>
      </c>
      <c r="O119">
        <v>27107</v>
      </c>
      <c r="Q119" s="99">
        <v>44396</v>
      </c>
      <c r="R119" s="105">
        <v>4258.63</v>
      </c>
    </row>
    <row r="120" spans="1:18" x14ac:dyDescent="0.3">
      <c r="A120" s="99">
        <v>44369</v>
      </c>
      <c r="B120">
        <v>111.07</v>
      </c>
      <c r="C120">
        <v>1179</v>
      </c>
      <c r="D120">
        <f t="shared" si="2"/>
        <v>130951.53</v>
      </c>
      <c r="E120">
        <v>36278</v>
      </c>
      <c r="K120" s="106">
        <v>44369</v>
      </c>
      <c r="L120" s="98">
        <v>508.82</v>
      </c>
      <c r="M120">
        <v>443</v>
      </c>
      <c r="N120">
        <f t="shared" si="3"/>
        <v>225407.26</v>
      </c>
      <c r="O120">
        <v>27107</v>
      </c>
      <c r="Q120" s="99">
        <v>44393</v>
      </c>
      <c r="R120" s="105">
        <v>4327.16</v>
      </c>
    </row>
    <row r="121" spans="1:18" x14ac:dyDescent="0.3">
      <c r="A121" s="99">
        <v>44370</v>
      </c>
      <c r="B121">
        <v>111.279999</v>
      </c>
      <c r="C121">
        <v>1179</v>
      </c>
      <c r="D121">
        <f t="shared" si="2"/>
        <v>131199.11882100001</v>
      </c>
      <c r="E121">
        <v>36278</v>
      </c>
      <c r="K121" s="106">
        <v>44370</v>
      </c>
      <c r="L121" s="98">
        <v>512.74</v>
      </c>
      <c r="M121">
        <v>443</v>
      </c>
      <c r="N121">
        <f t="shared" si="3"/>
        <v>227143.82</v>
      </c>
      <c r="O121">
        <v>27107</v>
      </c>
      <c r="Q121" s="99">
        <v>44392</v>
      </c>
      <c r="R121" s="105">
        <v>4360.03</v>
      </c>
    </row>
    <row r="122" spans="1:18" x14ac:dyDescent="0.3">
      <c r="A122" s="99">
        <v>44371</v>
      </c>
      <c r="B122">
        <v>111.779999</v>
      </c>
      <c r="C122">
        <v>1179</v>
      </c>
      <c r="D122">
        <f t="shared" si="2"/>
        <v>131788.61882100001</v>
      </c>
      <c r="E122">
        <v>36278</v>
      </c>
      <c r="K122" s="106">
        <v>44371</v>
      </c>
      <c r="L122" s="98">
        <v>518.05999999999995</v>
      </c>
      <c r="M122">
        <v>443</v>
      </c>
      <c r="N122">
        <f t="shared" si="3"/>
        <v>229500.58</v>
      </c>
      <c r="O122">
        <v>27107</v>
      </c>
      <c r="Q122" s="99">
        <v>44391</v>
      </c>
      <c r="R122" s="105">
        <v>4374.3</v>
      </c>
    </row>
    <row r="123" spans="1:18" x14ac:dyDescent="0.3">
      <c r="A123" s="99">
        <v>44372</v>
      </c>
      <c r="B123">
        <v>112.75</v>
      </c>
      <c r="C123">
        <v>1179</v>
      </c>
      <c r="D123">
        <f t="shared" si="2"/>
        <v>132932.25</v>
      </c>
      <c r="E123">
        <v>36278</v>
      </c>
      <c r="K123" s="106">
        <v>44372</v>
      </c>
      <c r="L123" s="98">
        <v>527.07000000000005</v>
      </c>
      <c r="M123">
        <v>443</v>
      </c>
      <c r="N123">
        <f t="shared" si="3"/>
        <v>233492.01</v>
      </c>
      <c r="O123">
        <v>27107</v>
      </c>
      <c r="Q123" s="99">
        <v>44390</v>
      </c>
      <c r="R123" s="105">
        <v>4369.21</v>
      </c>
    </row>
    <row r="124" spans="1:18" x14ac:dyDescent="0.3">
      <c r="A124" s="99">
        <v>44375</v>
      </c>
      <c r="B124">
        <v>112.93</v>
      </c>
      <c r="C124">
        <v>1179</v>
      </c>
      <c r="D124">
        <f t="shared" si="2"/>
        <v>133144.47</v>
      </c>
      <c r="E124">
        <v>36278</v>
      </c>
      <c r="K124" s="106">
        <v>44375</v>
      </c>
      <c r="L124" s="98">
        <v>533.03</v>
      </c>
      <c r="M124">
        <v>443</v>
      </c>
      <c r="N124">
        <f t="shared" si="3"/>
        <v>236132.28999999998</v>
      </c>
      <c r="O124">
        <v>27107</v>
      </c>
      <c r="Q124" s="99">
        <v>44389</v>
      </c>
      <c r="R124" s="105">
        <v>4384.63</v>
      </c>
    </row>
    <row r="125" spans="1:18" x14ac:dyDescent="0.3">
      <c r="A125" s="99">
        <v>44376</v>
      </c>
      <c r="B125">
        <v>112.07</v>
      </c>
      <c r="C125">
        <v>1179</v>
      </c>
      <c r="D125">
        <f t="shared" si="2"/>
        <v>132130.53</v>
      </c>
      <c r="E125">
        <v>36278</v>
      </c>
      <c r="K125" s="106">
        <v>44376</v>
      </c>
      <c r="L125" s="98">
        <v>533.5</v>
      </c>
      <c r="M125">
        <v>443</v>
      </c>
      <c r="N125">
        <f t="shared" si="3"/>
        <v>236340.5</v>
      </c>
      <c r="O125">
        <v>27107</v>
      </c>
      <c r="Q125" s="99">
        <v>44386</v>
      </c>
      <c r="R125" s="105">
        <v>4369.55</v>
      </c>
    </row>
    <row r="126" spans="1:18" x14ac:dyDescent="0.3">
      <c r="A126" s="99">
        <v>44377</v>
      </c>
      <c r="B126">
        <v>112.339996</v>
      </c>
      <c r="C126">
        <v>1179</v>
      </c>
      <c r="D126">
        <f t="shared" si="2"/>
        <v>132448.85528399999</v>
      </c>
      <c r="E126">
        <v>36278</v>
      </c>
      <c r="K126" s="106">
        <v>44377</v>
      </c>
      <c r="L126" s="98">
        <v>528.21</v>
      </c>
      <c r="M126">
        <v>443</v>
      </c>
      <c r="N126">
        <f t="shared" si="3"/>
        <v>233997.03000000003</v>
      </c>
      <c r="O126">
        <v>27107</v>
      </c>
      <c r="Q126" s="99">
        <v>44385</v>
      </c>
      <c r="R126" s="105">
        <v>4320.82</v>
      </c>
    </row>
    <row r="127" spans="1:18" x14ac:dyDescent="0.3">
      <c r="A127" s="99">
        <v>44378</v>
      </c>
      <c r="B127">
        <v>111.949997</v>
      </c>
      <c r="C127">
        <v>1180</v>
      </c>
      <c r="D127">
        <f t="shared" si="2"/>
        <v>132100.99645999999</v>
      </c>
      <c r="E127">
        <v>36714</v>
      </c>
      <c r="K127" s="106">
        <v>44378</v>
      </c>
      <c r="L127" s="98">
        <v>533.54</v>
      </c>
      <c r="M127">
        <v>443</v>
      </c>
      <c r="N127">
        <f t="shared" si="3"/>
        <v>236358.21999999997</v>
      </c>
      <c r="O127">
        <v>27425</v>
      </c>
      <c r="Q127" s="99">
        <v>44384</v>
      </c>
      <c r="R127" s="105">
        <v>4358.13</v>
      </c>
    </row>
    <row r="128" spans="1:18" x14ac:dyDescent="0.3">
      <c r="A128" s="99">
        <v>44379</v>
      </c>
      <c r="B128">
        <v>113.970001</v>
      </c>
      <c r="C128">
        <v>1180</v>
      </c>
      <c r="D128">
        <f t="shared" si="2"/>
        <v>134484.60118</v>
      </c>
      <c r="E128">
        <v>36714</v>
      </c>
      <c r="K128" s="106">
        <v>44379</v>
      </c>
      <c r="L128" s="98">
        <v>533.98</v>
      </c>
      <c r="M128">
        <v>443</v>
      </c>
      <c r="N128">
        <f t="shared" si="3"/>
        <v>236553.14</v>
      </c>
      <c r="O128">
        <v>27425</v>
      </c>
      <c r="Q128" s="99">
        <v>44383</v>
      </c>
      <c r="R128" s="105">
        <v>4343.54</v>
      </c>
    </row>
    <row r="129" spans="1:18" x14ac:dyDescent="0.3">
      <c r="A129" s="99">
        <v>44383</v>
      </c>
      <c r="B129">
        <v>115.08000199999999</v>
      </c>
      <c r="C129">
        <v>1180</v>
      </c>
      <c r="D129">
        <f t="shared" si="2"/>
        <v>135794.40235999998</v>
      </c>
      <c r="E129">
        <v>36714</v>
      </c>
      <c r="K129" s="106">
        <v>44383</v>
      </c>
      <c r="L129" s="98">
        <v>541.64</v>
      </c>
      <c r="M129">
        <v>443</v>
      </c>
      <c r="N129">
        <f t="shared" si="3"/>
        <v>239946.52</v>
      </c>
      <c r="O129">
        <v>27425</v>
      </c>
      <c r="Q129" s="99">
        <v>44379</v>
      </c>
      <c r="R129" s="105">
        <v>4352.34</v>
      </c>
    </row>
    <row r="130" spans="1:18" x14ac:dyDescent="0.3">
      <c r="A130" s="99">
        <v>44384</v>
      </c>
      <c r="B130">
        <v>115.879997</v>
      </c>
      <c r="C130">
        <v>1180</v>
      </c>
      <c r="D130">
        <f t="shared" si="2"/>
        <v>136738.39646000002</v>
      </c>
      <c r="E130">
        <v>36714</v>
      </c>
      <c r="K130" s="106">
        <v>44384</v>
      </c>
      <c r="L130" s="98">
        <v>535.96</v>
      </c>
      <c r="M130">
        <v>443</v>
      </c>
      <c r="N130">
        <f t="shared" si="3"/>
        <v>237430.28000000003</v>
      </c>
      <c r="O130">
        <v>27425</v>
      </c>
      <c r="Q130" s="99">
        <v>44378</v>
      </c>
      <c r="R130" s="105">
        <v>4319.9399999999996</v>
      </c>
    </row>
    <row r="131" spans="1:18" x14ac:dyDescent="0.3">
      <c r="A131" s="99">
        <v>44385</v>
      </c>
      <c r="B131">
        <v>115.449997</v>
      </c>
      <c r="C131">
        <v>1180</v>
      </c>
      <c r="D131">
        <f t="shared" ref="D131:D194" si="4">B131*C131</f>
        <v>136230.99645999999</v>
      </c>
      <c r="E131">
        <v>36714</v>
      </c>
      <c r="K131" s="106">
        <v>44385</v>
      </c>
      <c r="L131" s="98">
        <v>530.76</v>
      </c>
      <c r="M131">
        <v>443</v>
      </c>
      <c r="N131">
        <f t="shared" ref="N131:N194" si="5">L131*M131</f>
        <v>235126.68</v>
      </c>
      <c r="O131">
        <v>27425</v>
      </c>
      <c r="Q131" s="99">
        <v>44377</v>
      </c>
      <c r="R131" s="105">
        <v>4297.5</v>
      </c>
    </row>
    <row r="132" spans="1:18" x14ac:dyDescent="0.3">
      <c r="A132" s="99">
        <v>44386</v>
      </c>
      <c r="B132">
        <v>116.05999799999999</v>
      </c>
      <c r="C132">
        <v>1180</v>
      </c>
      <c r="D132">
        <f t="shared" si="4"/>
        <v>136950.79764</v>
      </c>
      <c r="E132">
        <v>36714</v>
      </c>
      <c r="K132" s="106">
        <v>44386</v>
      </c>
      <c r="L132" s="98">
        <v>535.98</v>
      </c>
      <c r="M132">
        <v>443</v>
      </c>
      <c r="N132">
        <f t="shared" si="5"/>
        <v>237439.14</v>
      </c>
      <c r="O132">
        <v>27425</v>
      </c>
      <c r="Q132" s="99">
        <v>44376</v>
      </c>
      <c r="R132" s="105">
        <v>4291.8</v>
      </c>
    </row>
    <row r="133" spans="1:18" x14ac:dyDescent="0.3">
      <c r="A133" s="99">
        <v>44389</v>
      </c>
      <c r="B133">
        <v>117.75</v>
      </c>
      <c r="C133">
        <v>1180</v>
      </c>
      <c r="D133">
        <f t="shared" si="4"/>
        <v>138945</v>
      </c>
      <c r="E133">
        <v>36714</v>
      </c>
      <c r="K133" s="106">
        <v>44389</v>
      </c>
      <c r="L133" s="98">
        <v>537.30999999999995</v>
      </c>
      <c r="M133">
        <v>443</v>
      </c>
      <c r="N133">
        <f t="shared" si="5"/>
        <v>238028.33</v>
      </c>
      <c r="O133">
        <v>27425</v>
      </c>
      <c r="Q133" s="99">
        <v>44375</v>
      </c>
      <c r="R133" s="105">
        <v>4290.6099999999997</v>
      </c>
    </row>
    <row r="134" spans="1:18" x14ac:dyDescent="0.3">
      <c r="A134" s="99">
        <v>44390</v>
      </c>
      <c r="B134">
        <v>118.540001</v>
      </c>
      <c r="C134">
        <v>1180</v>
      </c>
      <c r="D134">
        <f t="shared" si="4"/>
        <v>139877.20118</v>
      </c>
      <c r="E134">
        <v>36714</v>
      </c>
      <c r="K134" s="106">
        <v>44390</v>
      </c>
      <c r="L134" s="98">
        <v>540.67999999999995</v>
      </c>
      <c r="M134">
        <v>443</v>
      </c>
      <c r="N134">
        <f t="shared" si="5"/>
        <v>239521.24</v>
      </c>
      <c r="O134">
        <v>27425</v>
      </c>
      <c r="Q134" s="99">
        <v>44372</v>
      </c>
      <c r="R134" s="105">
        <v>4280.7</v>
      </c>
    </row>
    <row r="135" spans="1:18" x14ac:dyDescent="0.3">
      <c r="A135" s="99">
        <v>44391</v>
      </c>
      <c r="B135">
        <v>119.94000200000001</v>
      </c>
      <c r="C135">
        <v>1180</v>
      </c>
      <c r="D135">
        <f t="shared" si="4"/>
        <v>141529.20236</v>
      </c>
      <c r="E135">
        <v>36714</v>
      </c>
      <c r="K135" s="106">
        <v>44391</v>
      </c>
      <c r="L135" s="98">
        <v>547.95000000000005</v>
      </c>
      <c r="M135">
        <v>443</v>
      </c>
      <c r="N135">
        <f t="shared" si="5"/>
        <v>242741.85</v>
      </c>
      <c r="O135">
        <v>27425</v>
      </c>
      <c r="Q135" s="99">
        <v>44371</v>
      </c>
      <c r="R135" s="105">
        <v>4266.49</v>
      </c>
    </row>
    <row r="136" spans="1:18" x14ac:dyDescent="0.3">
      <c r="A136" s="99">
        <v>44392</v>
      </c>
      <c r="B136">
        <v>119.290001</v>
      </c>
      <c r="C136">
        <v>1180</v>
      </c>
      <c r="D136">
        <f t="shared" si="4"/>
        <v>140762.20118</v>
      </c>
      <c r="E136">
        <v>36714</v>
      </c>
      <c r="K136" s="106">
        <v>44392</v>
      </c>
      <c r="L136" s="98">
        <v>542.95000000000005</v>
      </c>
      <c r="M136">
        <v>443</v>
      </c>
      <c r="N136">
        <f t="shared" si="5"/>
        <v>240526.85</v>
      </c>
      <c r="O136">
        <v>27425</v>
      </c>
      <c r="Q136" s="99">
        <v>44370</v>
      </c>
      <c r="R136" s="105">
        <v>4241.84</v>
      </c>
    </row>
    <row r="137" spans="1:18" x14ac:dyDescent="0.3">
      <c r="A137" s="99">
        <v>44393</v>
      </c>
      <c r="B137">
        <v>119.68</v>
      </c>
      <c r="C137">
        <v>1180</v>
      </c>
      <c r="D137">
        <f t="shared" si="4"/>
        <v>141222.39999999999</v>
      </c>
      <c r="E137">
        <v>36714</v>
      </c>
      <c r="K137" s="106">
        <v>44393</v>
      </c>
      <c r="L137" s="98">
        <v>530.30999999999995</v>
      </c>
      <c r="M137">
        <v>443</v>
      </c>
      <c r="N137">
        <f t="shared" si="5"/>
        <v>234927.33</v>
      </c>
      <c r="O137">
        <v>27425</v>
      </c>
      <c r="Q137" s="99">
        <v>44369</v>
      </c>
      <c r="R137" s="105">
        <v>4246.4399999999996</v>
      </c>
    </row>
    <row r="138" spans="1:18" x14ac:dyDescent="0.3">
      <c r="A138" s="99">
        <v>44396</v>
      </c>
      <c r="B138">
        <v>117.540001</v>
      </c>
      <c r="C138">
        <v>1180</v>
      </c>
      <c r="D138">
        <f t="shared" si="4"/>
        <v>138697.20118</v>
      </c>
      <c r="E138">
        <v>36714</v>
      </c>
      <c r="K138" s="106">
        <v>44396</v>
      </c>
      <c r="L138" s="98">
        <v>532.28</v>
      </c>
      <c r="M138">
        <v>443</v>
      </c>
      <c r="N138">
        <f t="shared" si="5"/>
        <v>235800.03999999998</v>
      </c>
      <c r="O138">
        <v>27425</v>
      </c>
      <c r="Q138" s="99">
        <v>44368</v>
      </c>
      <c r="R138" s="105">
        <v>4224.79</v>
      </c>
    </row>
    <row r="139" spans="1:18" x14ac:dyDescent="0.3">
      <c r="A139" s="99">
        <v>44397</v>
      </c>
      <c r="B139">
        <v>115.629997</v>
      </c>
      <c r="C139">
        <v>1180</v>
      </c>
      <c r="D139">
        <f t="shared" si="4"/>
        <v>136443.39646000002</v>
      </c>
      <c r="E139">
        <v>36714</v>
      </c>
      <c r="K139" s="106">
        <v>44397</v>
      </c>
      <c r="L139" s="98">
        <v>531.04999999999995</v>
      </c>
      <c r="M139">
        <v>443</v>
      </c>
      <c r="N139">
        <f t="shared" si="5"/>
        <v>235255.15</v>
      </c>
      <c r="O139">
        <v>27425</v>
      </c>
      <c r="Q139" s="99">
        <v>44365</v>
      </c>
      <c r="R139" s="105">
        <v>4166.45</v>
      </c>
    </row>
    <row r="140" spans="1:18" x14ac:dyDescent="0.3">
      <c r="A140" s="99">
        <v>44398</v>
      </c>
      <c r="B140">
        <v>117.540001</v>
      </c>
      <c r="C140">
        <v>1180</v>
      </c>
      <c r="D140">
        <f t="shared" si="4"/>
        <v>138697.20118</v>
      </c>
      <c r="E140">
        <v>36714</v>
      </c>
      <c r="K140" s="106">
        <v>44398</v>
      </c>
      <c r="L140" s="98">
        <v>513.63</v>
      </c>
      <c r="M140">
        <v>443</v>
      </c>
      <c r="N140">
        <f t="shared" si="5"/>
        <v>227538.09</v>
      </c>
      <c r="O140">
        <v>27425</v>
      </c>
      <c r="Q140" s="99">
        <v>44364</v>
      </c>
      <c r="R140" s="105">
        <v>4221.8599999999997</v>
      </c>
    </row>
    <row r="141" spans="1:18" x14ac:dyDescent="0.3">
      <c r="A141" s="99">
        <v>44399</v>
      </c>
      <c r="B141">
        <v>119.339996</v>
      </c>
      <c r="C141">
        <v>1180</v>
      </c>
      <c r="D141">
        <f t="shared" si="4"/>
        <v>140821.19527999999</v>
      </c>
      <c r="E141">
        <v>36714</v>
      </c>
      <c r="K141" s="106">
        <v>44399</v>
      </c>
      <c r="L141" s="98">
        <v>511.77</v>
      </c>
      <c r="M141">
        <v>443</v>
      </c>
      <c r="N141">
        <f t="shared" si="5"/>
        <v>226714.11</v>
      </c>
      <c r="O141">
        <v>27425</v>
      </c>
      <c r="Q141" s="99">
        <v>44363</v>
      </c>
      <c r="R141" s="105">
        <v>4223.7</v>
      </c>
    </row>
    <row r="142" spans="1:18" x14ac:dyDescent="0.3">
      <c r="A142" s="99">
        <v>44400</v>
      </c>
      <c r="B142">
        <v>124.550003</v>
      </c>
      <c r="C142">
        <v>1180</v>
      </c>
      <c r="D142">
        <f t="shared" si="4"/>
        <v>146969.00354000001</v>
      </c>
      <c r="E142">
        <v>36714</v>
      </c>
      <c r="K142" s="106">
        <v>44400</v>
      </c>
      <c r="L142" s="98">
        <v>515.41</v>
      </c>
      <c r="M142">
        <v>443</v>
      </c>
      <c r="N142">
        <f t="shared" si="5"/>
        <v>228326.62999999998</v>
      </c>
      <c r="O142">
        <v>27425</v>
      </c>
      <c r="Q142" s="99">
        <v>44362</v>
      </c>
      <c r="R142" s="105">
        <v>4246.59</v>
      </c>
    </row>
    <row r="143" spans="1:18" x14ac:dyDescent="0.3">
      <c r="A143" s="99">
        <v>44403</v>
      </c>
      <c r="B143">
        <v>125.739998</v>
      </c>
      <c r="C143">
        <v>1180</v>
      </c>
      <c r="D143">
        <f t="shared" si="4"/>
        <v>148373.19764</v>
      </c>
      <c r="E143">
        <v>36714</v>
      </c>
      <c r="K143" s="106">
        <v>44403</v>
      </c>
      <c r="L143" s="98">
        <v>516.49</v>
      </c>
      <c r="M143">
        <v>443</v>
      </c>
      <c r="N143">
        <f t="shared" si="5"/>
        <v>228805.07</v>
      </c>
      <c r="O143">
        <v>27425</v>
      </c>
      <c r="Q143" s="99">
        <v>44361</v>
      </c>
      <c r="R143" s="105">
        <v>4255.1499999999996</v>
      </c>
    </row>
    <row r="144" spans="1:18" x14ac:dyDescent="0.3">
      <c r="A144" s="99">
        <v>44404</v>
      </c>
      <c r="B144">
        <v>126.08000199999999</v>
      </c>
      <c r="C144">
        <v>1180</v>
      </c>
      <c r="D144">
        <f t="shared" si="4"/>
        <v>148774.40235999998</v>
      </c>
      <c r="E144">
        <v>36714</v>
      </c>
      <c r="K144" s="106">
        <v>44404</v>
      </c>
      <c r="L144" s="98">
        <v>518.91</v>
      </c>
      <c r="M144">
        <v>443</v>
      </c>
      <c r="N144">
        <f t="shared" si="5"/>
        <v>229877.12999999998</v>
      </c>
      <c r="O144">
        <v>27425</v>
      </c>
      <c r="Q144" s="99">
        <v>44358</v>
      </c>
      <c r="R144" s="105">
        <v>4247.4399999999996</v>
      </c>
    </row>
    <row r="145" spans="1:18" x14ac:dyDescent="0.3">
      <c r="A145" s="99">
        <v>44405</v>
      </c>
      <c r="B145">
        <v>122.55999799999999</v>
      </c>
      <c r="C145">
        <v>1180</v>
      </c>
      <c r="D145">
        <f t="shared" si="4"/>
        <v>144620.79764</v>
      </c>
      <c r="E145">
        <v>36714</v>
      </c>
      <c r="K145" s="106">
        <v>44405</v>
      </c>
      <c r="L145" s="98">
        <v>519.29999999999995</v>
      </c>
      <c r="M145">
        <v>443</v>
      </c>
      <c r="N145">
        <f t="shared" si="5"/>
        <v>230049.9</v>
      </c>
      <c r="O145">
        <v>27425</v>
      </c>
      <c r="Q145" s="99">
        <v>44357</v>
      </c>
      <c r="R145" s="105">
        <v>4239.18</v>
      </c>
    </row>
    <row r="146" spans="1:18" x14ac:dyDescent="0.3">
      <c r="A146" s="99">
        <v>44406</v>
      </c>
      <c r="B146">
        <v>122.93</v>
      </c>
      <c r="C146">
        <v>1180</v>
      </c>
      <c r="D146">
        <f t="shared" si="4"/>
        <v>145057.4</v>
      </c>
      <c r="E146">
        <v>36714</v>
      </c>
      <c r="K146" s="106">
        <v>44406</v>
      </c>
      <c r="L146" s="98">
        <v>514.25</v>
      </c>
      <c r="M146">
        <v>443</v>
      </c>
      <c r="N146">
        <f t="shared" si="5"/>
        <v>227812.75</v>
      </c>
      <c r="O146">
        <v>27425</v>
      </c>
      <c r="Q146" s="99">
        <v>44356</v>
      </c>
      <c r="R146" s="105">
        <v>4219.55</v>
      </c>
    </row>
    <row r="147" spans="1:18" x14ac:dyDescent="0.3">
      <c r="A147" s="99">
        <v>44407</v>
      </c>
      <c r="B147">
        <v>122.19000200000001</v>
      </c>
      <c r="C147">
        <v>1180</v>
      </c>
      <c r="D147">
        <f t="shared" si="4"/>
        <v>144184.20236</v>
      </c>
      <c r="E147">
        <v>36714</v>
      </c>
      <c r="K147" s="106">
        <v>44407</v>
      </c>
      <c r="L147" s="98">
        <v>517.57000000000005</v>
      </c>
      <c r="M147">
        <v>443</v>
      </c>
      <c r="N147">
        <f t="shared" si="5"/>
        <v>229283.51</v>
      </c>
      <c r="O147">
        <v>27425</v>
      </c>
      <c r="Q147" s="99">
        <v>44355</v>
      </c>
      <c r="R147" s="105">
        <v>4227.26</v>
      </c>
    </row>
    <row r="148" spans="1:18" x14ac:dyDescent="0.3">
      <c r="A148" s="99">
        <v>44410</v>
      </c>
      <c r="B148">
        <v>122.029999</v>
      </c>
      <c r="C148">
        <v>1180</v>
      </c>
      <c r="D148">
        <f t="shared" si="4"/>
        <v>143995.39882</v>
      </c>
      <c r="E148">
        <v>36714</v>
      </c>
      <c r="K148" s="106">
        <v>44410</v>
      </c>
      <c r="L148" s="98">
        <v>515.15</v>
      </c>
      <c r="M148">
        <v>443</v>
      </c>
      <c r="N148">
        <f t="shared" si="5"/>
        <v>228211.44999999998</v>
      </c>
      <c r="O148">
        <v>27425</v>
      </c>
      <c r="Q148" s="99">
        <v>44354</v>
      </c>
      <c r="R148" s="105">
        <v>4226.5200000000004</v>
      </c>
    </row>
    <row r="149" spans="1:18" x14ac:dyDescent="0.3">
      <c r="A149" s="99">
        <v>44411</v>
      </c>
      <c r="B149">
        <v>120.57</v>
      </c>
      <c r="C149">
        <v>1180</v>
      </c>
      <c r="D149">
        <f t="shared" si="4"/>
        <v>142272.6</v>
      </c>
      <c r="E149">
        <v>36714</v>
      </c>
      <c r="K149" s="106">
        <v>44411</v>
      </c>
      <c r="L149" s="98">
        <v>510.82</v>
      </c>
      <c r="M149">
        <v>443</v>
      </c>
      <c r="N149">
        <f t="shared" si="5"/>
        <v>226293.26</v>
      </c>
      <c r="O149">
        <v>27425</v>
      </c>
      <c r="Q149" s="99">
        <v>44351</v>
      </c>
      <c r="R149" s="105">
        <v>4229.8900000000003</v>
      </c>
    </row>
    <row r="150" spans="1:18" x14ac:dyDescent="0.3">
      <c r="A150" s="99">
        <v>44412</v>
      </c>
      <c r="B150">
        <v>119.129997</v>
      </c>
      <c r="C150">
        <v>1180</v>
      </c>
      <c r="D150">
        <f t="shared" si="4"/>
        <v>140573.39646000002</v>
      </c>
      <c r="E150">
        <v>36714</v>
      </c>
      <c r="K150" s="106">
        <v>44412</v>
      </c>
      <c r="L150" s="98">
        <v>517.35</v>
      </c>
      <c r="M150">
        <v>443</v>
      </c>
      <c r="N150">
        <f t="shared" si="5"/>
        <v>229186.05000000002</v>
      </c>
      <c r="O150">
        <v>27425</v>
      </c>
      <c r="Q150" s="99">
        <v>44350</v>
      </c>
      <c r="R150" s="105">
        <v>4192.8500000000004</v>
      </c>
    </row>
    <row r="151" spans="1:18" x14ac:dyDescent="0.3">
      <c r="A151" s="99">
        <v>44413</v>
      </c>
      <c r="B151">
        <v>118.720001</v>
      </c>
      <c r="C151">
        <v>1180</v>
      </c>
      <c r="D151">
        <f t="shared" si="4"/>
        <v>140089.60118</v>
      </c>
      <c r="E151">
        <v>36714</v>
      </c>
      <c r="K151" s="106">
        <v>44413</v>
      </c>
      <c r="L151" s="98">
        <v>524.89</v>
      </c>
      <c r="M151">
        <v>443</v>
      </c>
      <c r="N151">
        <f t="shared" si="5"/>
        <v>232526.27</v>
      </c>
      <c r="O151">
        <v>27425</v>
      </c>
      <c r="Q151" s="99">
        <v>44349</v>
      </c>
      <c r="R151" s="105">
        <v>4208.12</v>
      </c>
    </row>
    <row r="152" spans="1:18" x14ac:dyDescent="0.3">
      <c r="A152" s="99">
        <v>44414</v>
      </c>
      <c r="B152">
        <v>119.139999</v>
      </c>
      <c r="C152">
        <v>1180</v>
      </c>
      <c r="D152">
        <f t="shared" si="4"/>
        <v>140585.19881999999</v>
      </c>
      <c r="E152">
        <v>36714</v>
      </c>
      <c r="K152" s="106">
        <v>44414</v>
      </c>
      <c r="L152" s="98">
        <v>520.54999999999995</v>
      </c>
      <c r="M152">
        <v>443</v>
      </c>
      <c r="N152">
        <f t="shared" si="5"/>
        <v>230603.65</v>
      </c>
      <c r="O152">
        <v>27425</v>
      </c>
      <c r="Q152" s="99">
        <v>44348</v>
      </c>
      <c r="R152" s="105">
        <v>4202.04</v>
      </c>
    </row>
    <row r="153" spans="1:18" x14ac:dyDescent="0.3">
      <c r="A153" s="99">
        <v>44417</v>
      </c>
      <c r="B153">
        <v>118.989998</v>
      </c>
      <c r="C153">
        <v>1180</v>
      </c>
      <c r="D153">
        <f t="shared" si="4"/>
        <v>140408.19764</v>
      </c>
      <c r="E153">
        <v>36714</v>
      </c>
      <c r="K153" s="106">
        <v>44417</v>
      </c>
      <c r="L153" s="98">
        <v>519.97</v>
      </c>
      <c r="M153">
        <v>443</v>
      </c>
      <c r="N153">
        <f t="shared" si="5"/>
        <v>230346.71000000002</v>
      </c>
      <c r="O153">
        <v>27425</v>
      </c>
      <c r="Q153" s="99">
        <v>44344</v>
      </c>
      <c r="R153" s="105">
        <v>4204.1099999999997</v>
      </c>
    </row>
    <row r="154" spans="1:18" x14ac:dyDescent="0.3">
      <c r="A154" s="99">
        <v>44418</v>
      </c>
      <c r="B154">
        <v>118.389999</v>
      </c>
      <c r="C154">
        <v>1180</v>
      </c>
      <c r="D154">
        <f t="shared" si="4"/>
        <v>139700.19881999999</v>
      </c>
      <c r="E154">
        <v>36714</v>
      </c>
      <c r="K154" s="106">
        <v>44418</v>
      </c>
      <c r="L154" s="98">
        <v>515.84</v>
      </c>
      <c r="M154">
        <v>443</v>
      </c>
      <c r="N154">
        <f t="shared" si="5"/>
        <v>228517.12000000002</v>
      </c>
      <c r="O154">
        <v>27425</v>
      </c>
      <c r="Q154" s="99">
        <v>44343</v>
      </c>
      <c r="R154" s="105">
        <v>4200.88</v>
      </c>
    </row>
    <row r="155" spans="1:18" x14ac:dyDescent="0.3">
      <c r="A155" s="99">
        <v>44419</v>
      </c>
      <c r="B155">
        <v>116.339996</v>
      </c>
      <c r="C155">
        <v>1180</v>
      </c>
      <c r="D155">
        <f t="shared" si="4"/>
        <v>137281.19527999999</v>
      </c>
      <c r="E155">
        <v>36714</v>
      </c>
      <c r="K155" s="106">
        <v>44419</v>
      </c>
      <c r="L155" s="98">
        <v>512.4</v>
      </c>
      <c r="M155">
        <v>443</v>
      </c>
      <c r="N155">
        <f t="shared" si="5"/>
        <v>226993.19999999998</v>
      </c>
      <c r="O155">
        <v>27425</v>
      </c>
      <c r="Q155" s="99">
        <v>44342</v>
      </c>
      <c r="R155" s="105">
        <v>4195.99</v>
      </c>
    </row>
    <row r="156" spans="1:18" x14ac:dyDescent="0.3">
      <c r="A156" s="99">
        <v>44420</v>
      </c>
      <c r="B156">
        <v>116.410004</v>
      </c>
      <c r="C156">
        <v>1180</v>
      </c>
      <c r="D156">
        <f t="shared" si="4"/>
        <v>137363.80472000001</v>
      </c>
      <c r="E156">
        <v>36714</v>
      </c>
      <c r="K156" s="106">
        <v>44420</v>
      </c>
      <c r="L156" s="98">
        <v>510.72</v>
      </c>
      <c r="M156">
        <v>443</v>
      </c>
      <c r="N156">
        <f t="shared" si="5"/>
        <v>226248.96000000002</v>
      </c>
      <c r="O156">
        <v>27425</v>
      </c>
      <c r="Q156" s="99">
        <v>44341</v>
      </c>
      <c r="R156" s="105">
        <v>4188.13</v>
      </c>
    </row>
    <row r="157" spans="1:18" x14ac:dyDescent="0.3">
      <c r="A157" s="99">
        <v>44421</v>
      </c>
      <c r="B157">
        <v>115.94000200000001</v>
      </c>
      <c r="C157">
        <v>1180</v>
      </c>
      <c r="D157">
        <f t="shared" si="4"/>
        <v>136809.20236</v>
      </c>
      <c r="E157">
        <v>36714</v>
      </c>
      <c r="K157" s="106">
        <v>44421</v>
      </c>
      <c r="L157" s="98">
        <v>515.91999999999996</v>
      </c>
      <c r="M157">
        <v>443</v>
      </c>
      <c r="N157">
        <f t="shared" si="5"/>
        <v>228552.55999999997</v>
      </c>
      <c r="O157">
        <v>27425</v>
      </c>
      <c r="Q157" s="99">
        <v>44340</v>
      </c>
      <c r="R157" s="105">
        <v>4197.05</v>
      </c>
    </row>
    <row r="158" spans="1:18" x14ac:dyDescent="0.3">
      <c r="A158" s="99">
        <v>44424</v>
      </c>
      <c r="B158">
        <v>116.69000200000001</v>
      </c>
      <c r="C158">
        <v>1180</v>
      </c>
      <c r="D158">
        <f t="shared" si="4"/>
        <v>137694.20236</v>
      </c>
      <c r="E158">
        <v>36714</v>
      </c>
      <c r="K158" s="106">
        <v>44424</v>
      </c>
      <c r="L158" s="98">
        <v>517.91999999999996</v>
      </c>
      <c r="M158">
        <v>443</v>
      </c>
      <c r="N158">
        <f t="shared" si="5"/>
        <v>229438.55999999997</v>
      </c>
      <c r="O158">
        <v>27425</v>
      </c>
      <c r="Q158" s="99">
        <v>44337</v>
      </c>
      <c r="R158" s="105">
        <v>4155.8599999999997</v>
      </c>
    </row>
    <row r="159" spans="1:18" x14ac:dyDescent="0.3">
      <c r="A159" s="99">
        <v>44425</v>
      </c>
      <c r="B159">
        <v>116.620003</v>
      </c>
      <c r="C159">
        <v>1180</v>
      </c>
      <c r="D159">
        <f t="shared" si="4"/>
        <v>137611.60353999998</v>
      </c>
      <c r="E159">
        <v>36714</v>
      </c>
      <c r="K159" s="106">
        <v>44425</v>
      </c>
      <c r="L159" s="98">
        <v>518.91</v>
      </c>
      <c r="M159">
        <v>443</v>
      </c>
      <c r="N159">
        <f t="shared" si="5"/>
        <v>229877.12999999998</v>
      </c>
      <c r="O159">
        <v>27425</v>
      </c>
      <c r="Q159" s="99">
        <v>44336</v>
      </c>
      <c r="R159" s="105">
        <v>4159.12</v>
      </c>
    </row>
    <row r="160" spans="1:18" x14ac:dyDescent="0.3">
      <c r="A160" s="99">
        <v>44426</v>
      </c>
      <c r="B160">
        <v>116.279999</v>
      </c>
      <c r="C160">
        <v>1180</v>
      </c>
      <c r="D160">
        <f t="shared" si="4"/>
        <v>137210.39882</v>
      </c>
      <c r="E160">
        <v>36714</v>
      </c>
      <c r="K160" s="106">
        <v>44426</v>
      </c>
      <c r="L160" s="98">
        <v>521.87</v>
      </c>
      <c r="M160">
        <v>443</v>
      </c>
      <c r="N160">
        <f t="shared" si="5"/>
        <v>231188.41</v>
      </c>
      <c r="O160">
        <v>27425</v>
      </c>
      <c r="Q160" s="99">
        <v>44335</v>
      </c>
      <c r="R160" s="105">
        <v>4115.68</v>
      </c>
    </row>
    <row r="161" spans="1:18" x14ac:dyDescent="0.3">
      <c r="A161" s="99">
        <v>44427</v>
      </c>
      <c r="B161">
        <v>114.510002</v>
      </c>
      <c r="C161">
        <v>1180</v>
      </c>
      <c r="D161">
        <f t="shared" si="4"/>
        <v>135121.80236</v>
      </c>
      <c r="E161">
        <v>36714</v>
      </c>
      <c r="K161" s="106">
        <v>44427</v>
      </c>
      <c r="L161" s="98">
        <v>543.71</v>
      </c>
      <c r="M161">
        <v>443</v>
      </c>
      <c r="N161">
        <f t="shared" si="5"/>
        <v>240863.53000000003</v>
      </c>
      <c r="O161">
        <v>27425</v>
      </c>
      <c r="Q161" s="99">
        <v>44334</v>
      </c>
      <c r="R161" s="105">
        <v>4127.83</v>
      </c>
    </row>
    <row r="162" spans="1:18" x14ac:dyDescent="0.3">
      <c r="A162" s="99">
        <v>44428</v>
      </c>
      <c r="B162">
        <v>113.980003</v>
      </c>
      <c r="C162">
        <v>1180</v>
      </c>
      <c r="D162">
        <f t="shared" si="4"/>
        <v>134496.40354</v>
      </c>
      <c r="E162">
        <v>36714</v>
      </c>
      <c r="K162" s="106">
        <v>44428</v>
      </c>
      <c r="L162" s="98">
        <v>546.88</v>
      </c>
      <c r="M162">
        <v>443</v>
      </c>
      <c r="N162">
        <f t="shared" si="5"/>
        <v>242267.84</v>
      </c>
      <c r="O162">
        <v>27425</v>
      </c>
      <c r="Q162" s="99">
        <v>44333</v>
      </c>
      <c r="R162" s="105">
        <v>4163.29</v>
      </c>
    </row>
    <row r="163" spans="1:18" x14ac:dyDescent="0.3">
      <c r="A163" s="99">
        <v>44431</v>
      </c>
      <c r="B163">
        <v>114.709999</v>
      </c>
      <c r="C163">
        <v>1180</v>
      </c>
      <c r="D163">
        <f t="shared" si="4"/>
        <v>135357.79882</v>
      </c>
      <c r="E163">
        <v>36714</v>
      </c>
      <c r="K163" s="106">
        <v>44431</v>
      </c>
      <c r="L163" s="98">
        <v>553.33000000000004</v>
      </c>
      <c r="M163">
        <v>443</v>
      </c>
      <c r="N163">
        <f t="shared" si="5"/>
        <v>245125.19000000003</v>
      </c>
      <c r="O163">
        <v>27425</v>
      </c>
      <c r="Q163" s="99">
        <v>44330</v>
      </c>
      <c r="R163" s="105">
        <v>4173.8500000000004</v>
      </c>
    </row>
    <row r="164" spans="1:18" x14ac:dyDescent="0.3">
      <c r="A164" s="99">
        <v>44432</v>
      </c>
      <c r="B164">
        <v>115.389999</v>
      </c>
      <c r="C164">
        <v>1180</v>
      </c>
      <c r="D164">
        <f t="shared" si="4"/>
        <v>136160.19881999999</v>
      </c>
      <c r="E164">
        <v>36714</v>
      </c>
      <c r="K164" s="106">
        <v>44432</v>
      </c>
      <c r="L164" s="98">
        <v>553.41</v>
      </c>
      <c r="M164">
        <v>443</v>
      </c>
      <c r="N164">
        <f t="shared" si="5"/>
        <v>245160.62999999998</v>
      </c>
      <c r="O164">
        <v>27425</v>
      </c>
      <c r="Q164" s="99">
        <v>44329</v>
      </c>
      <c r="R164" s="105">
        <v>4112.5</v>
      </c>
    </row>
    <row r="165" spans="1:18" x14ac:dyDescent="0.3">
      <c r="A165" s="99">
        <v>44433</v>
      </c>
      <c r="B165">
        <v>115.589996</v>
      </c>
      <c r="C165">
        <v>1180</v>
      </c>
      <c r="D165">
        <f t="shared" si="4"/>
        <v>136396.19527999999</v>
      </c>
      <c r="E165">
        <v>36714</v>
      </c>
      <c r="K165" s="106">
        <v>44433</v>
      </c>
      <c r="L165" s="98">
        <v>547.58000000000004</v>
      </c>
      <c r="M165">
        <v>443</v>
      </c>
      <c r="N165">
        <f t="shared" si="5"/>
        <v>242577.94000000003</v>
      </c>
      <c r="O165">
        <v>27425</v>
      </c>
      <c r="Q165" s="99">
        <v>44328</v>
      </c>
      <c r="R165" s="105">
        <v>4063.04</v>
      </c>
    </row>
    <row r="166" spans="1:18" x14ac:dyDescent="0.3">
      <c r="A166" s="99">
        <v>44434</v>
      </c>
      <c r="B166">
        <v>115.620003</v>
      </c>
      <c r="C166">
        <v>1180</v>
      </c>
      <c r="D166">
        <f t="shared" si="4"/>
        <v>136431.60353999998</v>
      </c>
      <c r="E166">
        <v>36714</v>
      </c>
      <c r="K166" s="106">
        <v>44434</v>
      </c>
      <c r="L166" s="98">
        <v>550.12</v>
      </c>
      <c r="M166">
        <v>443</v>
      </c>
      <c r="N166">
        <f t="shared" si="5"/>
        <v>243703.16</v>
      </c>
      <c r="O166">
        <v>27425</v>
      </c>
      <c r="Q166" s="99">
        <v>44327</v>
      </c>
      <c r="R166" s="105">
        <v>4152.1000000000004</v>
      </c>
    </row>
    <row r="167" spans="1:18" x14ac:dyDescent="0.3">
      <c r="A167" s="99">
        <v>44435</v>
      </c>
      <c r="B167">
        <v>114.610001</v>
      </c>
      <c r="C167">
        <v>1180</v>
      </c>
      <c r="D167">
        <f t="shared" si="4"/>
        <v>135239.80118000001</v>
      </c>
      <c r="E167">
        <v>36714</v>
      </c>
      <c r="K167" s="106">
        <v>44435</v>
      </c>
      <c r="L167" s="98">
        <v>558.91999999999996</v>
      </c>
      <c r="M167">
        <v>443</v>
      </c>
      <c r="N167">
        <f t="shared" si="5"/>
        <v>247601.55999999997</v>
      </c>
      <c r="O167">
        <v>27425</v>
      </c>
      <c r="Q167" s="99">
        <v>44326</v>
      </c>
      <c r="R167" s="105">
        <v>4188.43</v>
      </c>
    </row>
    <row r="168" spans="1:18" x14ac:dyDescent="0.3">
      <c r="A168" s="99">
        <v>44438</v>
      </c>
      <c r="B168">
        <v>115.610001</v>
      </c>
      <c r="C168">
        <v>1180</v>
      </c>
      <c r="D168">
        <f t="shared" si="4"/>
        <v>136419.80118000001</v>
      </c>
      <c r="E168">
        <v>36714</v>
      </c>
      <c r="K168" s="106">
        <v>44438</v>
      </c>
      <c r="L168" s="98">
        <v>566.17999999999995</v>
      </c>
      <c r="M168">
        <v>443</v>
      </c>
      <c r="N168">
        <f t="shared" si="5"/>
        <v>250817.74</v>
      </c>
      <c r="O168">
        <v>27425</v>
      </c>
      <c r="Q168" s="99">
        <v>44323</v>
      </c>
      <c r="R168" s="105">
        <v>4232.6000000000004</v>
      </c>
    </row>
    <row r="169" spans="1:18" x14ac:dyDescent="0.3">
      <c r="A169" s="99">
        <v>44439</v>
      </c>
      <c r="B169">
        <v>115.769997</v>
      </c>
      <c r="C169">
        <v>1180</v>
      </c>
      <c r="D169">
        <f t="shared" si="4"/>
        <v>136608.59646</v>
      </c>
      <c r="E169">
        <v>36714</v>
      </c>
      <c r="K169" s="106">
        <v>44439</v>
      </c>
      <c r="L169" s="98">
        <v>569.19000000000005</v>
      </c>
      <c r="M169">
        <v>443</v>
      </c>
      <c r="N169">
        <f t="shared" si="5"/>
        <v>252151.17</v>
      </c>
      <c r="O169">
        <v>27425</v>
      </c>
      <c r="Q169" s="99">
        <v>44322</v>
      </c>
      <c r="R169" s="105">
        <v>4201.62</v>
      </c>
    </row>
    <row r="170" spans="1:18" x14ac:dyDescent="0.3">
      <c r="A170" s="99">
        <v>44440</v>
      </c>
      <c r="B170">
        <v>118.010002</v>
      </c>
      <c r="C170">
        <v>1180</v>
      </c>
      <c r="D170">
        <f t="shared" si="4"/>
        <v>139251.80236</v>
      </c>
      <c r="E170">
        <v>36714</v>
      </c>
      <c r="K170" s="106">
        <v>44440</v>
      </c>
      <c r="L170" s="98">
        <v>582.07000000000005</v>
      </c>
      <c r="M170">
        <v>443</v>
      </c>
      <c r="N170">
        <f t="shared" si="5"/>
        <v>257857.01</v>
      </c>
      <c r="O170">
        <v>27425</v>
      </c>
      <c r="Q170" s="99">
        <v>44321</v>
      </c>
      <c r="R170" s="105">
        <v>4167.59</v>
      </c>
    </row>
    <row r="171" spans="1:18" x14ac:dyDescent="0.3">
      <c r="A171" s="99">
        <v>44441</v>
      </c>
      <c r="B171">
        <v>118.290001</v>
      </c>
      <c r="C171">
        <v>1180</v>
      </c>
      <c r="D171">
        <f t="shared" si="4"/>
        <v>139582.20118</v>
      </c>
      <c r="E171">
        <v>36714</v>
      </c>
      <c r="K171" s="106">
        <v>44441</v>
      </c>
      <c r="L171" s="98">
        <v>588.54999999999995</v>
      </c>
      <c r="M171">
        <v>443</v>
      </c>
      <c r="N171">
        <f t="shared" si="5"/>
        <v>260727.65</v>
      </c>
      <c r="O171">
        <v>27425</v>
      </c>
      <c r="Q171" s="99">
        <v>44320</v>
      </c>
      <c r="R171" s="105">
        <v>4164.66</v>
      </c>
    </row>
    <row r="172" spans="1:18" x14ac:dyDescent="0.3">
      <c r="A172" s="99">
        <v>44442</v>
      </c>
      <c r="B172">
        <v>116.839996</v>
      </c>
      <c r="C172">
        <v>1180</v>
      </c>
      <c r="D172">
        <f t="shared" si="4"/>
        <v>137871.19527999999</v>
      </c>
      <c r="E172">
        <v>36714</v>
      </c>
      <c r="K172" s="106">
        <v>44442</v>
      </c>
      <c r="L172" s="98">
        <v>590.53</v>
      </c>
      <c r="M172">
        <v>443</v>
      </c>
      <c r="N172">
        <f t="shared" si="5"/>
        <v>261604.78999999998</v>
      </c>
      <c r="O172">
        <v>27425</v>
      </c>
      <c r="Q172" s="99">
        <v>44319</v>
      </c>
      <c r="R172" s="105">
        <v>4192.66</v>
      </c>
    </row>
    <row r="173" spans="1:18" x14ac:dyDescent="0.3">
      <c r="A173" s="99">
        <v>44446</v>
      </c>
      <c r="B173">
        <v>117.089996</v>
      </c>
      <c r="C173">
        <v>1180</v>
      </c>
      <c r="D173">
        <f t="shared" si="4"/>
        <v>138166.19527999999</v>
      </c>
      <c r="E173">
        <v>36714</v>
      </c>
      <c r="K173" s="106">
        <v>44446</v>
      </c>
      <c r="L173" s="98">
        <v>606.71</v>
      </c>
      <c r="M173">
        <v>443</v>
      </c>
      <c r="N173">
        <f t="shared" si="5"/>
        <v>268772.53000000003</v>
      </c>
      <c r="O173">
        <v>27425</v>
      </c>
      <c r="Q173" s="99">
        <v>44316</v>
      </c>
      <c r="R173" s="105">
        <v>4181.17</v>
      </c>
    </row>
    <row r="174" spans="1:18" x14ac:dyDescent="0.3">
      <c r="A174" s="99">
        <v>44447</v>
      </c>
      <c r="B174">
        <v>116.099998</v>
      </c>
      <c r="C174">
        <v>1180</v>
      </c>
      <c r="D174">
        <f t="shared" si="4"/>
        <v>136997.99763999999</v>
      </c>
      <c r="E174">
        <v>36714</v>
      </c>
      <c r="K174" s="106">
        <v>44447</v>
      </c>
      <c r="L174" s="98">
        <v>606.04999999999995</v>
      </c>
      <c r="M174">
        <v>443</v>
      </c>
      <c r="N174">
        <f t="shared" si="5"/>
        <v>268480.14999999997</v>
      </c>
      <c r="O174">
        <v>27425</v>
      </c>
      <c r="Q174" s="99">
        <v>44315</v>
      </c>
      <c r="R174" s="105">
        <v>4211.47</v>
      </c>
    </row>
    <row r="175" spans="1:18" x14ac:dyDescent="0.3">
      <c r="A175" s="99">
        <v>44448</v>
      </c>
      <c r="B175">
        <v>117.980003</v>
      </c>
      <c r="C175">
        <v>1180</v>
      </c>
      <c r="D175">
        <f t="shared" si="4"/>
        <v>139216.40354</v>
      </c>
      <c r="E175">
        <v>36714</v>
      </c>
      <c r="K175" s="106">
        <v>44448</v>
      </c>
      <c r="L175" s="98">
        <v>597.54</v>
      </c>
      <c r="M175">
        <v>443</v>
      </c>
      <c r="N175">
        <f t="shared" si="5"/>
        <v>264710.21999999997</v>
      </c>
      <c r="O175">
        <v>27425</v>
      </c>
      <c r="Q175" s="99">
        <v>44314</v>
      </c>
      <c r="R175" s="105">
        <v>4183.18</v>
      </c>
    </row>
    <row r="176" spans="1:18" x14ac:dyDescent="0.3">
      <c r="A176" s="99">
        <v>44449</v>
      </c>
      <c r="B176">
        <v>119.349998</v>
      </c>
      <c r="C176">
        <v>1180</v>
      </c>
      <c r="D176">
        <f t="shared" si="4"/>
        <v>140832.99763999999</v>
      </c>
      <c r="E176">
        <v>36714</v>
      </c>
      <c r="K176" s="106">
        <v>44449</v>
      </c>
      <c r="L176" s="98">
        <v>598.72</v>
      </c>
      <c r="M176">
        <v>443</v>
      </c>
      <c r="N176">
        <f t="shared" si="5"/>
        <v>265232.96000000002</v>
      </c>
      <c r="O176">
        <v>27425</v>
      </c>
      <c r="Q176" s="99">
        <v>44313</v>
      </c>
      <c r="R176" s="105">
        <v>4186.72</v>
      </c>
    </row>
    <row r="177" spans="1:18" x14ac:dyDescent="0.3">
      <c r="A177" s="99">
        <v>44452</v>
      </c>
      <c r="B177">
        <v>119.889999</v>
      </c>
      <c r="C177">
        <v>1180</v>
      </c>
      <c r="D177">
        <f t="shared" si="4"/>
        <v>141470.19881999999</v>
      </c>
      <c r="E177">
        <v>36714</v>
      </c>
      <c r="K177" s="106">
        <v>44452</v>
      </c>
      <c r="L177" s="98">
        <v>589.29</v>
      </c>
      <c r="M177">
        <v>443</v>
      </c>
      <c r="N177">
        <f t="shared" si="5"/>
        <v>261055.46999999997</v>
      </c>
      <c r="O177">
        <v>27425</v>
      </c>
      <c r="Q177" s="99">
        <v>44312</v>
      </c>
      <c r="R177" s="105">
        <v>4187.62</v>
      </c>
    </row>
    <row r="178" spans="1:18" x14ac:dyDescent="0.3">
      <c r="A178" s="99">
        <v>44453</v>
      </c>
      <c r="B178">
        <v>119.720001</v>
      </c>
      <c r="C178">
        <v>1180</v>
      </c>
      <c r="D178">
        <f t="shared" si="4"/>
        <v>141269.60118</v>
      </c>
      <c r="E178">
        <v>36714</v>
      </c>
      <c r="K178" s="106">
        <v>44453</v>
      </c>
      <c r="L178" s="98">
        <v>577.76</v>
      </c>
      <c r="M178">
        <v>443</v>
      </c>
      <c r="N178">
        <f t="shared" si="5"/>
        <v>255947.68</v>
      </c>
      <c r="O178">
        <v>27425</v>
      </c>
      <c r="Q178" s="99">
        <v>44309</v>
      </c>
      <c r="R178" s="105">
        <v>4180.17</v>
      </c>
    </row>
    <row r="179" spans="1:18" x14ac:dyDescent="0.3">
      <c r="A179" s="99">
        <v>44454</v>
      </c>
      <c r="B179">
        <v>116.959999</v>
      </c>
      <c r="C179">
        <v>1180</v>
      </c>
      <c r="D179">
        <f t="shared" si="4"/>
        <v>138012.79882</v>
      </c>
      <c r="E179">
        <v>36714</v>
      </c>
      <c r="K179" s="106">
        <v>44454</v>
      </c>
      <c r="L179" s="98">
        <v>582.87</v>
      </c>
      <c r="M179">
        <v>443</v>
      </c>
      <c r="N179">
        <f t="shared" si="5"/>
        <v>258211.41</v>
      </c>
      <c r="O179">
        <v>27425</v>
      </c>
      <c r="Q179" s="99">
        <v>44308</v>
      </c>
      <c r="R179" s="105">
        <v>4134.9799999999996</v>
      </c>
    </row>
    <row r="180" spans="1:18" x14ac:dyDescent="0.3">
      <c r="A180" s="99">
        <v>44455</v>
      </c>
      <c r="B180">
        <v>114.790001</v>
      </c>
      <c r="C180">
        <v>1180</v>
      </c>
      <c r="D180">
        <f t="shared" si="4"/>
        <v>135452.20118</v>
      </c>
      <c r="E180">
        <v>36714</v>
      </c>
      <c r="K180" s="106">
        <v>44455</v>
      </c>
      <c r="L180" s="98">
        <v>586.5</v>
      </c>
      <c r="M180">
        <v>443</v>
      </c>
      <c r="N180">
        <f t="shared" si="5"/>
        <v>259819.5</v>
      </c>
      <c r="O180">
        <v>27425</v>
      </c>
      <c r="Q180" s="99">
        <v>44307</v>
      </c>
      <c r="R180" s="105">
        <v>4173.42</v>
      </c>
    </row>
    <row r="181" spans="1:18" x14ac:dyDescent="0.3">
      <c r="A181" s="99">
        <v>44456</v>
      </c>
      <c r="B181">
        <v>114.540001</v>
      </c>
      <c r="C181">
        <v>1180</v>
      </c>
      <c r="D181">
        <f t="shared" si="4"/>
        <v>135157.20118</v>
      </c>
      <c r="E181">
        <v>36714</v>
      </c>
      <c r="K181" s="106">
        <v>44456</v>
      </c>
      <c r="L181" s="98">
        <v>589.35</v>
      </c>
      <c r="M181">
        <v>443</v>
      </c>
      <c r="N181">
        <f t="shared" si="5"/>
        <v>261082.05000000002</v>
      </c>
      <c r="O181">
        <v>27425</v>
      </c>
      <c r="Q181" s="99">
        <v>44306</v>
      </c>
      <c r="R181" s="105">
        <v>4134.9399999999996</v>
      </c>
    </row>
    <row r="182" spans="1:18" x14ac:dyDescent="0.3">
      <c r="A182" s="99">
        <v>44459</v>
      </c>
      <c r="B182">
        <v>111.349998</v>
      </c>
      <c r="C182">
        <v>1180</v>
      </c>
      <c r="D182">
        <f t="shared" si="4"/>
        <v>131392.99763999999</v>
      </c>
      <c r="E182">
        <v>36714</v>
      </c>
      <c r="K182" s="106">
        <v>44459</v>
      </c>
      <c r="L182" s="98">
        <v>575.42999999999995</v>
      </c>
      <c r="M182">
        <v>443</v>
      </c>
      <c r="N182">
        <f t="shared" si="5"/>
        <v>254915.49</v>
      </c>
      <c r="O182">
        <v>27425</v>
      </c>
      <c r="Q182" s="99">
        <v>44305</v>
      </c>
      <c r="R182" s="105">
        <v>4163.26</v>
      </c>
    </row>
    <row r="183" spans="1:18" x14ac:dyDescent="0.3">
      <c r="A183" s="99">
        <v>44460</v>
      </c>
      <c r="B183">
        <v>111.91999800000001</v>
      </c>
      <c r="C183">
        <v>1180</v>
      </c>
      <c r="D183">
        <f t="shared" si="4"/>
        <v>132065.59764000002</v>
      </c>
      <c r="E183">
        <v>36714</v>
      </c>
      <c r="K183" s="106">
        <v>44460</v>
      </c>
      <c r="L183" s="98">
        <v>573.14</v>
      </c>
      <c r="M183">
        <v>443</v>
      </c>
      <c r="N183">
        <f t="shared" si="5"/>
        <v>253901.02</v>
      </c>
      <c r="O183">
        <v>27425</v>
      </c>
      <c r="Q183" s="99">
        <v>44302</v>
      </c>
      <c r="R183" s="105">
        <v>4185.47</v>
      </c>
    </row>
    <row r="184" spans="1:18" x14ac:dyDescent="0.3">
      <c r="A184" s="99">
        <v>44461</v>
      </c>
      <c r="B184">
        <v>113.05999799999999</v>
      </c>
      <c r="C184">
        <v>1180</v>
      </c>
      <c r="D184">
        <f t="shared" si="4"/>
        <v>133410.79764</v>
      </c>
      <c r="E184">
        <v>36714</v>
      </c>
      <c r="K184" s="106">
        <v>44461</v>
      </c>
      <c r="L184" s="98">
        <v>590.65</v>
      </c>
      <c r="M184">
        <v>443</v>
      </c>
      <c r="N184">
        <f t="shared" si="5"/>
        <v>261657.94999999998</v>
      </c>
      <c r="O184">
        <v>27425</v>
      </c>
      <c r="Q184" s="99">
        <v>44301</v>
      </c>
      <c r="R184" s="105">
        <v>4170.42</v>
      </c>
    </row>
    <row r="185" spans="1:18" x14ac:dyDescent="0.3">
      <c r="A185" s="99">
        <v>44462</v>
      </c>
      <c r="B185">
        <v>113.389999</v>
      </c>
      <c r="C185">
        <v>1180</v>
      </c>
      <c r="D185">
        <f t="shared" si="4"/>
        <v>133800.19881999999</v>
      </c>
      <c r="E185">
        <v>36714</v>
      </c>
      <c r="K185" s="106">
        <v>44462</v>
      </c>
      <c r="L185" s="98">
        <v>593.26</v>
      </c>
      <c r="M185">
        <v>443</v>
      </c>
      <c r="N185">
        <f t="shared" si="5"/>
        <v>262814.18</v>
      </c>
      <c r="O185">
        <v>27425</v>
      </c>
      <c r="Q185" s="99">
        <v>44300</v>
      </c>
      <c r="R185" s="105">
        <v>4124.66</v>
      </c>
    </row>
    <row r="186" spans="1:18" x14ac:dyDescent="0.3">
      <c r="A186" s="99">
        <v>44463</v>
      </c>
      <c r="B186">
        <v>114.129997</v>
      </c>
      <c r="C186">
        <v>1180</v>
      </c>
      <c r="D186">
        <f t="shared" si="4"/>
        <v>134673.39646000002</v>
      </c>
      <c r="E186">
        <v>36714</v>
      </c>
      <c r="K186" s="106">
        <v>44463</v>
      </c>
      <c r="L186" s="98">
        <v>592.39</v>
      </c>
      <c r="M186">
        <v>443</v>
      </c>
      <c r="N186">
        <f t="shared" si="5"/>
        <v>262428.77</v>
      </c>
      <c r="O186">
        <v>27425</v>
      </c>
      <c r="Q186" s="99">
        <v>44299</v>
      </c>
      <c r="R186" s="105">
        <v>4141.59</v>
      </c>
    </row>
    <row r="187" spans="1:18" x14ac:dyDescent="0.3">
      <c r="A187" s="99">
        <v>44466</v>
      </c>
      <c r="B187">
        <v>113.610001</v>
      </c>
      <c r="C187">
        <v>1180</v>
      </c>
      <c r="D187">
        <f t="shared" si="4"/>
        <v>134059.80118000001</v>
      </c>
      <c r="E187">
        <v>36714</v>
      </c>
      <c r="K187" s="106">
        <v>44466</v>
      </c>
      <c r="L187" s="98">
        <v>592.64</v>
      </c>
      <c r="M187">
        <v>443</v>
      </c>
      <c r="N187">
        <f t="shared" si="5"/>
        <v>262539.52000000002</v>
      </c>
      <c r="O187">
        <v>27425</v>
      </c>
      <c r="Q187" s="99">
        <v>44298</v>
      </c>
      <c r="R187" s="105">
        <v>4127.99</v>
      </c>
    </row>
    <row r="188" spans="1:18" x14ac:dyDescent="0.3">
      <c r="A188" s="99">
        <v>44467</v>
      </c>
      <c r="B188">
        <v>112.68</v>
      </c>
      <c r="C188">
        <v>1180</v>
      </c>
      <c r="D188">
        <f t="shared" si="4"/>
        <v>132962.4</v>
      </c>
      <c r="E188">
        <v>36714</v>
      </c>
      <c r="K188" s="106">
        <v>44467</v>
      </c>
      <c r="L188" s="98">
        <v>583.85</v>
      </c>
      <c r="M188">
        <v>443</v>
      </c>
      <c r="N188">
        <f t="shared" si="5"/>
        <v>258645.55000000002</v>
      </c>
      <c r="O188">
        <v>27425</v>
      </c>
      <c r="Q188" s="99">
        <v>44295</v>
      </c>
      <c r="R188" s="105">
        <v>4128.8</v>
      </c>
    </row>
    <row r="189" spans="1:18" x14ac:dyDescent="0.3">
      <c r="A189" s="99">
        <v>44468</v>
      </c>
      <c r="B189">
        <v>111.900002</v>
      </c>
      <c r="C189">
        <v>1180</v>
      </c>
      <c r="D189">
        <f t="shared" si="4"/>
        <v>132042.00236000001</v>
      </c>
      <c r="E189">
        <v>36714</v>
      </c>
      <c r="K189" s="106">
        <v>44468</v>
      </c>
      <c r="L189" s="98">
        <v>599.05999999999995</v>
      </c>
      <c r="M189">
        <v>443</v>
      </c>
      <c r="N189">
        <f t="shared" si="5"/>
        <v>265383.57999999996</v>
      </c>
      <c r="O189">
        <v>27425</v>
      </c>
      <c r="Q189" s="99">
        <v>44294</v>
      </c>
      <c r="R189" s="105">
        <v>4097.17</v>
      </c>
    </row>
    <row r="190" spans="1:18" x14ac:dyDescent="0.3">
      <c r="A190" s="99">
        <v>44469</v>
      </c>
      <c r="B190">
        <v>111.519997</v>
      </c>
      <c r="C190">
        <v>1180</v>
      </c>
      <c r="D190">
        <f t="shared" si="4"/>
        <v>131593.59646</v>
      </c>
      <c r="E190">
        <v>36714</v>
      </c>
      <c r="K190" s="106">
        <v>44469</v>
      </c>
      <c r="L190" s="98">
        <v>610.34</v>
      </c>
      <c r="M190">
        <v>443</v>
      </c>
      <c r="N190">
        <f t="shared" si="5"/>
        <v>270380.62</v>
      </c>
      <c r="O190">
        <v>27425</v>
      </c>
      <c r="Q190" s="99">
        <v>44293</v>
      </c>
      <c r="R190" s="105">
        <v>4079.95</v>
      </c>
    </row>
    <row r="191" spans="1:18" x14ac:dyDescent="0.3">
      <c r="A191" s="99">
        <v>44470</v>
      </c>
      <c r="B191">
        <v>110.889999</v>
      </c>
      <c r="C191">
        <v>1152</v>
      </c>
      <c r="D191">
        <f t="shared" si="4"/>
        <v>127745.278848</v>
      </c>
      <c r="E191">
        <v>37291</v>
      </c>
      <c r="K191" s="106">
        <v>44470</v>
      </c>
      <c r="L191" s="98">
        <v>613.15</v>
      </c>
      <c r="M191">
        <v>444</v>
      </c>
      <c r="N191">
        <f t="shared" si="5"/>
        <v>272238.59999999998</v>
      </c>
      <c r="O191">
        <v>28735</v>
      </c>
      <c r="Q191" s="99">
        <v>44292</v>
      </c>
      <c r="R191" s="105">
        <v>4073.94</v>
      </c>
    </row>
    <row r="192" spans="1:18" x14ac:dyDescent="0.3">
      <c r="A192" s="99">
        <v>44473</v>
      </c>
      <c r="B192">
        <v>112.43</v>
      </c>
      <c r="C192">
        <v>1152</v>
      </c>
      <c r="D192">
        <f t="shared" si="4"/>
        <v>129519.36000000002</v>
      </c>
      <c r="E192">
        <v>37291</v>
      </c>
      <c r="K192" s="106">
        <v>44473</v>
      </c>
      <c r="L192" s="98">
        <v>603.35</v>
      </c>
      <c r="M192">
        <v>444</v>
      </c>
      <c r="N192">
        <f t="shared" si="5"/>
        <v>267887.40000000002</v>
      </c>
      <c r="O192">
        <v>28735</v>
      </c>
      <c r="Q192" s="99">
        <v>44291</v>
      </c>
      <c r="R192" s="105">
        <v>4077.91</v>
      </c>
    </row>
    <row r="193" spans="1:18" x14ac:dyDescent="0.3">
      <c r="A193" s="99">
        <v>44474</v>
      </c>
      <c r="B193">
        <v>111.129997</v>
      </c>
      <c r="C193">
        <v>1152</v>
      </c>
      <c r="D193">
        <f t="shared" si="4"/>
        <v>128021.756544</v>
      </c>
      <c r="E193">
        <v>37291</v>
      </c>
      <c r="K193" s="106">
        <v>44474</v>
      </c>
      <c r="L193" s="98">
        <v>634.80999999999995</v>
      </c>
      <c r="M193">
        <v>444</v>
      </c>
      <c r="N193">
        <f t="shared" si="5"/>
        <v>281855.63999999996</v>
      </c>
      <c r="O193">
        <v>28735</v>
      </c>
      <c r="Q193" s="99">
        <v>44287</v>
      </c>
      <c r="R193" s="105">
        <v>4019.87</v>
      </c>
    </row>
    <row r="194" spans="1:18" x14ac:dyDescent="0.3">
      <c r="A194" s="99">
        <v>44475</v>
      </c>
      <c r="B194">
        <v>110.18</v>
      </c>
      <c r="C194">
        <v>1152</v>
      </c>
      <c r="D194">
        <f t="shared" si="4"/>
        <v>126927.36000000002</v>
      </c>
      <c r="E194">
        <v>37291</v>
      </c>
      <c r="K194" s="106">
        <v>44475</v>
      </c>
      <c r="L194" s="98">
        <v>639.1</v>
      </c>
      <c r="M194">
        <v>444</v>
      </c>
      <c r="N194">
        <f t="shared" si="5"/>
        <v>283760.40000000002</v>
      </c>
      <c r="O194">
        <v>28735</v>
      </c>
      <c r="Q194" s="99">
        <v>44286</v>
      </c>
      <c r="R194" s="105">
        <v>3972.89</v>
      </c>
    </row>
    <row r="195" spans="1:18" x14ac:dyDescent="0.3">
      <c r="A195" s="99">
        <v>44476</v>
      </c>
      <c r="B195">
        <v>112.379997</v>
      </c>
      <c r="C195">
        <v>1152</v>
      </c>
      <c r="D195">
        <f t="shared" ref="D195:D253" si="6">B195*C195</f>
        <v>129461.756544</v>
      </c>
      <c r="E195">
        <v>37291</v>
      </c>
      <c r="K195" s="106">
        <v>44476</v>
      </c>
      <c r="L195" s="98">
        <v>631.85</v>
      </c>
      <c r="M195">
        <v>444</v>
      </c>
      <c r="N195">
        <f t="shared" ref="N195:N254" si="7">L195*M195</f>
        <v>280541.40000000002</v>
      </c>
      <c r="O195">
        <v>28735</v>
      </c>
      <c r="Q195" s="99">
        <v>44285</v>
      </c>
      <c r="R195" s="105">
        <v>3958.55</v>
      </c>
    </row>
    <row r="196" spans="1:18" x14ac:dyDescent="0.3">
      <c r="A196" s="99">
        <v>44477</v>
      </c>
      <c r="B196">
        <v>112.58000199999999</v>
      </c>
      <c r="C196">
        <v>1152</v>
      </c>
      <c r="D196">
        <f t="shared" si="6"/>
        <v>129692.162304</v>
      </c>
      <c r="E196">
        <v>37291</v>
      </c>
      <c r="K196" s="106">
        <v>44503</v>
      </c>
      <c r="L196" s="98">
        <v>632.66</v>
      </c>
      <c r="M196">
        <v>444</v>
      </c>
      <c r="N196">
        <f t="shared" si="7"/>
        <v>280901.03999999998</v>
      </c>
      <c r="O196">
        <v>28735</v>
      </c>
      <c r="Q196" s="99">
        <v>44284</v>
      </c>
      <c r="R196" s="105">
        <v>3971.09</v>
      </c>
    </row>
    <row r="197" spans="1:18" x14ac:dyDescent="0.3">
      <c r="A197" s="99">
        <v>44480</v>
      </c>
      <c r="B197">
        <v>112.889999</v>
      </c>
      <c r="C197">
        <v>1152</v>
      </c>
      <c r="D197">
        <f t="shared" si="6"/>
        <v>130049.278848</v>
      </c>
      <c r="E197">
        <v>37291</v>
      </c>
      <c r="K197" s="106">
        <v>44504</v>
      </c>
      <c r="L197" s="98">
        <v>627.04</v>
      </c>
      <c r="M197">
        <v>444</v>
      </c>
      <c r="N197">
        <f t="shared" si="7"/>
        <v>278405.76000000001</v>
      </c>
      <c r="O197">
        <v>28735</v>
      </c>
      <c r="Q197" s="99">
        <v>44281</v>
      </c>
      <c r="R197" s="105">
        <v>3974.54</v>
      </c>
    </row>
    <row r="198" spans="1:18" x14ac:dyDescent="0.3">
      <c r="A198" s="99">
        <v>44481</v>
      </c>
      <c r="B198">
        <v>111.720001</v>
      </c>
      <c r="C198">
        <v>1152</v>
      </c>
      <c r="D198">
        <f t="shared" si="6"/>
        <v>128701.441152</v>
      </c>
      <c r="E198">
        <v>37291</v>
      </c>
      <c r="K198" s="106">
        <v>44505</v>
      </c>
      <c r="L198" s="98">
        <v>624.94000000000005</v>
      </c>
      <c r="M198">
        <v>444</v>
      </c>
      <c r="N198">
        <f t="shared" si="7"/>
        <v>277473.36000000004</v>
      </c>
      <c r="O198">
        <v>28735</v>
      </c>
      <c r="Q198" s="99">
        <v>44280</v>
      </c>
      <c r="R198" s="105">
        <v>3909.52</v>
      </c>
    </row>
    <row r="199" spans="1:18" x14ac:dyDescent="0.3">
      <c r="A199" s="99">
        <v>44482</v>
      </c>
      <c r="B199">
        <v>111.389999</v>
      </c>
      <c r="C199">
        <v>1152</v>
      </c>
      <c r="D199">
        <f t="shared" si="6"/>
        <v>128321.278848</v>
      </c>
      <c r="E199">
        <v>37291</v>
      </c>
      <c r="K199" s="106">
        <v>44506</v>
      </c>
      <c r="L199" s="98">
        <v>629.76</v>
      </c>
      <c r="M199">
        <v>444</v>
      </c>
      <c r="N199">
        <f t="shared" si="7"/>
        <v>279613.44</v>
      </c>
      <c r="O199">
        <v>28735</v>
      </c>
      <c r="Q199" s="99">
        <v>44279</v>
      </c>
      <c r="R199" s="105">
        <v>3889.14</v>
      </c>
    </row>
    <row r="200" spans="1:18" x14ac:dyDescent="0.3">
      <c r="A200" s="99">
        <v>44483</v>
      </c>
      <c r="B200">
        <v>111.08000199999999</v>
      </c>
      <c r="C200">
        <v>1152</v>
      </c>
      <c r="D200">
        <f t="shared" si="6"/>
        <v>127964.162304</v>
      </c>
      <c r="E200">
        <v>37291</v>
      </c>
      <c r="K200" s="106">
        <v>44507</v>
      </c>
      <c r="L200" s="98">
        <v>633.79999999999995</v>
      </c>
      <c r="M200">
        <v>444</v>
      </c>
      <c r="N200">
        <f t="shared" si="7"/>
        <v>281407.19999999995</v>
      </c>
      <c r="O200">
        <v>28735</v>
      </c>
      <c r="Q200" s="99">
        <v>44278</v>
      </c>
      <c r="R200" s="105">
        <v>3910.52</v>
      </c>
    </row>
    <row r="201" spans="1:18" x14ac:dyDescent="0.3">
      <c r="A201" s="99">
        <v>44484</v>
      </c>
      <c r="B201">
        <v>112.449997</v>
      </c>
      <c r="C201">
        <v>1152</v>
      </c>
      <c r="D201">
        <f t="shared" si="6"/>
        <v>129542.39654399999</v>
      </c>
      <c r="E201">
        <v>37291</v>
      </c>
      <c r="K201" s="106">
        <v>44508</v>
      </c>
      <c r="L201" s="98">
        <v>628.29</v>
      </c>
      <c r="M201">
        <v>444</v>
      </c>
      <c r="N201">
        <f t="shared" si="7"/>
        <v>278960.76</v>
      </c>
      <c r="O201">
        <v>28735</v>
      </c>
      <c r="Q201" s="99">
        <v>44277</v>
      </c>
      <c r="R201" s="105">
        <v>3940.59</v>
      </c>
    </row>
    <row r="202" spans="1:18" x14ac:dyDescent="0.3">
      <c r="A202" s="99">
        <v>44487</v>
      </c>
      <c r="B202">
        <v>111.44000200000001</v>
      </c>
      <c r="C202">
        <v>1152</v>
      </c>
      <c r="D202">
        <f t="shared" si="6"/>
        <v>128378.88230400001</v>
      </c>
      <c r="E202">
        <v>37291</v>
      </c>
      <c r="K202" s="106">
        <v>44509</v>
      </c>
      <c r="L202" s="98">
        <v>637.97</v>
      </c>
      <c r="M202">
        <v>444</v>
      </c>
      <c r="N202">
        <f t="shared" si="7"/>
        <v>283258.68</v>
      </c>
      <c r="O202">
        <v>28735</v>
      </c>
      <c r="Q202" s="99">
        <v>44274</v>
      </c>
      <c r="R202" s="105">
        <v>3913.1</v>
      </c>
    </row>
    <row r="203" spans="1:18" x14ac:dyDescent="0.3">
      <c r="A203" s="99">
        <v>44488</v>
      </c>
      <c r="B203">
        <v>113.739998</v>
      </c>
      <c r="C203">
        <v>1152</v>
      </c>
      <c r="D203">
        <f t="shared" si="6"/>
        <v>131028.477696</v>
      </c>
      <c r="E203">
        <v>37291</v>
      </c>
      <c r="K203" s="106">
        <v>44510</v>
      </c>
      <c r="L203" s="98">
        <v>639</v>
      </c>
      <c r="M203">
        <v>444</v>
      </c>
      <c r="N203">
        <f t="shared" si="7"/>
        <v>283716</v>
      </c>
      <c r="O203">
        <v>28735</v>
      </c>
      <c r="Q203" s="99">
        <v>44273</v>
      </c>
      <c r="R203" s="105">
        <v>3915.46</v>
      </c>
    </row>
    <row r="204" spans="1:18" x14ac:dyDescent="0.3">
      <c r="A204" s="99">
        <v>44489</v>
      </c>
      <c r="B204">
        <v>113.05999799999999</v>
      </c>
      <c r="C204">
        <v>1152</v>
      </c>
      <c r="D204">
        <f t="shared" si="6"/>
        <v>130245.11769599999</v>
      </c>
      <c r="E204">
        <v>37291</v>
      </c>
      <c r="K204" s="106">
        <v>44511</v>
      </c>
      <c r="L204" s="98">
        <v>625.14</v>
      </c>
      <c r="M204">
        <v>444</v>
      </c>
      <c r="N204">
        <f t="shared" si="7"/>
        <v>277562.15999999997</v>
      </c>
      <c r="O204">
        <v>28735</v>
      </c>
      <c r="Q204" s="99">
        <v>44272</v>
      </c>
      <c r="R204" s="105">
        <v>3974.12</v>
      </c>
    </row>
    <row r="205" spans="1:18" x14ac:dyDescent="0.3">
      <c r="A205" s="99">
        <v>44490</v>
      </c>
      <c r="B205">
        <v>113.93</v>
      </c>
      <c r="C205">
        <v>1152</v>
      </c>
      <c r="D205">
        <f t="shared" si="6"/>
        <v>131247.36000000002</v>
      </c>
      <c r="E205">
        <v>37291</v>
      </c>
      <c r="K205" s="106">
        <v>44512</v>
      </c>
      <c r="L205" s="98">
        <v>653.16</v>
      </c>
      <c r="M205">
        <v>444</v>
      </c>
      <c r="N205">
        <f t="shared" si="7"/>
        <v>290003.03999999998</v>
      </c>
      <c r="O205">
        <v>28735</v>
      </c>
      <c r="Q205" s="99">
        <v>44271</v>
      </c>
      <c r="R205" s="105">
        <v>3962.71</v>
      </c>
    </row>
    <row r="206" spans="1:18" x14ac:dyDescent="0.3">
      <c r="A206" s="99">
        <v>44491</v>
      </c>
      <c r="B206">
        <v>114.410004</v>
      </c>
      <c r="C206">
        <v>1152</v>
      </c>
      <c r="D206">
        <f t="shared" si="6"/>
        <v>131800.324608</v>
      </c>
      <c r="E206">
        <v>37291</v>
      </c>
      <c r="K206" s="106">
        <v>44513</v>
      </c>
      <c r="L206" s="98">
        <v>664.78</v>
      </c>
      <c r="M206">
        <v>444</v>
      </c>
      <c r="N206">
        <f t="shared" si="7"/>
        <v>295162.32</v>
      </c>
      <c r="O206">
        <v>28735</v>
      </c>
      <c r="Q206" s="99">
        <v>44270</v>
      </c>
      <c r="R206" s="105">
        <v>3968.94</v>
      </c>
    </row>
    <row r="207" spans="1:18" x14ac:dyDescent="0.3">
      <c r="A207" s="99">
        <v>44494</v>
      </c>
      <c r="B207">
        <v>114.739998</v>
      </c>
      <c r="C207">
        <v>1152</v>
      </c>
      <c r="D207">
        <f t="shared" si="6"/>
        <v>132180.47769599999</v>
      </c>
      <c r="E207">
        <v>37291</v>
      </c>
      <c r="K207" s="106">
        <v>44514</v>
      </c>
      <c r="L207" s="98">
        <v>671.66</v>
      </c>
      <c r="M207">
        <v>444</v>
      </c>
      <c r="N207">
        <f t="shared" si="7"/>
        <v>298217.03999999998</v>
      </c>
      <c r="O207">
        <v>28735</v>
      </c>
      <c r="Q207" s="99">
        <v>44267</v>
      </c>
      <c r="R207" s="105">
        <v>3943.34</v>
      </c>
    </row>
    <row r="208" spans="1:18" x14ac:dyDescent="0.3">
      <c r="A208" s="99">
        <v>44495</v>
      </c>
      <c r="B208">
        <v>114.91999800000001</v>
      </c>
      <c r="C208">
        <v>1152</v>
      </c>
      <c r="D208">
        <f t="shared" si="6"/>
        <v>132387.837696</v>
      </c>
      <c r="E208">
        <v>37291</v>
      </c>
      <c r="K208" s="106">
        <v>44515</v>
      </c>
      <c r="L208" s="98">
        <v>668.52</v>
      </c>
      <c r="M208">
        <v>444</v>
      </c>
      <c r="N208">
        <f t="shared" si="7"/>
        <v>296822.88</v>
      </c>
      <c r="O208">
        <v>28735</v>
      </c>
      <c r="Q208" s="99">
        <v>44266</v>
      </c>
      <c r="R208" s="105">
        <v>3939.34</v>
      </c>
    </row>
    <row r="209" spans="1:18" x14ac:dyDescent="0.3">
      <c r="A209" s="99">
        <v>44496</v>
      </c>
      <c r="B209">
        <v>115.57</v>
      </c>
      <c r="C209">
        <v>1152</v>
      </c>
      <c r="D209">
        <f t="shared" si="6"/>
        <v>133136.63999999998</v>
      </c>
      <c r="E209">
        <v>37291</v>
      </c>
      <c r="K209" s="106">
        <v>44516</v>
      </c>
      <c r="L209" s="98">
        <v>662.92</v>
      </c>
      <c r="M209">
        <v>444</v>
      </c>
      <c r="N209">
        <f t="shared" si="7"/>
        <v>294336.48</v>
      </c>
      <c r="O209">
        <v>28735</v>
      </c>
      <c r="Q209" s="99">
        <v>44265</v>
      </c>
      <c r="R209" s="105">
        <v>3898.81</v>
      </c>
    </row>
    <row r="210" spans="1:18" x14ac:dyDescent="0.3">
      <c r="A210" s="99">
        <v>44497</v>
      </c>
      <c r="B210">
        <v>113.739998</v>
      </c>
      <c r="C210">
        <v>1152</v>
      </c>
      <c r="D210">
        <f t="shared" si="6"/>
        <v>131028.477696</v>
      </c>
      <c r="E210">
        <v>37291</v>
      </c>
      <c r="K210" s="106">
        <v>44517</v>
      </c>
      <c r="L210" s="98">
        <v>674.05</v>
      </c>
      <c r="M210">
        <v>444</v>
      </c>
      <c r="N210">
        <f t="shared" si="7"/>
        <v>299278.19999999995</v>
      </c>
      <c r="O210">
        <v>28735</v>
      </c>
      <c r="Q210" s="99">
        <v>44264</v>
      </c>
      <c r="R210" s="105">
        <v>3875.44</v>
      </c>
    </row>
    <row r="211" spans="1:18" x14ac:dyDescent="0.3">
      <c r="A211" s="99">
        <v>44498</v>
      </c>
      <c r="B211">
        <v>107.5</v>
      </c>
      <c r="C211">
        <v>1152</v>
      </c>
      <c r="D211">
        <f t="shared" si="6"/>
        <v>123840</v>
      </c>
      <c r="E211">
        <v>37291</v>
      </c>
      <c r="K211" s="106">
        <v>44518</v>
      </c>
      <c r="L211" s="98">
        <v>690.31</v>
      </c>
      <c r="M211">
        <v>444</v>
      </c>
      <c r="N211">
        <f t="shared" si="7"/>
        <v>306497.63999999996</v>
      </c>
      <c r="O211">
        <v>28735</v>
      </c>
      <c r="Q211" s="99">
        <v>44263</v>
      </c>
      <c r="R211" s="105">
        <v>3821.35</v>
      </c>
    </row>
    <row r="212" spans="1:18" x14ac:dyDescent="0.3">
      <c r="A212" s="99">
        <v>44501</v>
      </c>
      <c r="B212">
        <v>107.230003</v>
      </c>
      <c r="C212">
        <v>1152</v>
      </c>
      <c r="D212">
        <f t="shared" si="6"/>
        <v>123528.963456</v>
      </c>
      <c r="E212">
        <v>37291</v>
      </c>
      <c r="K212" s="106">
        <v>44519</v>
      </c>
      <c r="L212" s="98">
        <v>681.17</v>
      </c>
      <c r="M212">
        <v>444</v>
      </c>
      <c r="N212">
        <f t="shared" si="7"/>
        <v>302439.48</v>
      </c>
      <c r="O212">
        <v>28735</v>
      </c>
      <c r="Q212" s="99">
        <v>44260</v>
      </c>
      <c r="R212" s="105">
        <v>3841.94</v>
      </c>
    </row>
    <row r="213" spans="1:18" x14ac:dyDescent="0.3">
      <c r="A213" s="99">
        <v>44502</v>
      </c>
      <c r="B213">
        <v>110.25</v>
      </c>
      <c r="C213">
        <v>1152</v>
      </c>
      <c r="D213">
        <f t="shared" si="6"/>
        <v>127008</v>
      </c>
      <c r="E213">
        <v>37291</v>
      </c>
      <c r="K213" s="106">
        <v>44520</v>
      </c>
      <c r="L213" s="98">
        <v>677.72</v>
      </c>
      <c r="M213">
        <v>444</v>
      </c>
      <c r="N213">
        <f t="shared" si="7"/>
        <v>300907.68</v>
      </c>
      <c r="O213">
        <v>28735</v>
      </c>
      <c r="Q213" s="99">
        <v>44259</v>
      </c>
      <c r="R213" s="105">
        <v>3768.47</v>
      </c>
    </row>
    <row r="214" spans="1:18" x14ac:dyDescent="0.3">
      <c r="A214" s="99">
        <v>44503</v>
      </c>
      <c r="B214">
        <v>111.33000199999999</v>
      </c>
      <c r="C214">
        <v>1152</v>
      </c>
      <c r="D214">
        <f t="shared" si="6"/>
        <v>128252.162304</v>
      </c>
      <c r="E214">
        <v>37291</v>
      </c>
      <c r="K214" s="106">
        <v>44521</v>
      </c>
      <c r="L214" s="98">
        <v>688.29</v>
      </c>
      <c r="M214">
        <v>444</v>
      </c>
      <c r="N214">
        <f t="shared" si="7"/>
        <v>305600.76</v>
      </c>
      <c r="O214">
        <v>28735</v>
      </c>
      <c r="Q214" s="99">
        <v>44258</v>
      </c>
      <c r="R214" s="105">
        <v>3819.72</v>
      </c>
    </row>
    <row r="215" spans="1:18" x14ac:dyDescent="0.3">
      <c r="A215" s="99">
        <v>44504</v>
      </c>
      <c r="B215">
        <v>111.599998</v>
      </c>
      <c r="C215">
        <v>1152</v>
      </c>
      <c r="D215">
        <f t="shared" si="6"/>
        <v>128563.197696</v>
      </c>
      <c r="E215">
        <v>37291</v>
      </c>
      <c r="K215" s="106">
        <v>44522</v>
      </c>
      <c r="L215" s="98">
        <v>668.4</v>
      </c>
      <c r="M215">
        <v>444</v>
      </c>
      <c r="N215">
        <f t="shared" si="7"/>
        <v>296769.59999999998</v>
      </c>
      <c r="O215">
        <v>28735</v>
      </c>
      <c r="Q215" s="99">
        <v>44257</v>
      </c>
      <c r="R215" s="105">
        <v>3870.29</v>
      </c>
    </row>
    <row r="216" spans="1:18" x14ac:dyDescent="0.3">
      <c r="A216" s="99">
        <v>44505</v>
      </c>
      <c r="B216">
        <v>113.239998</v>
      </c>
      <c r="C216">
        <v>1152</v>
      </c>
      <c r="D216">
        <f t="shared" si="6"/>
        <v>130452.477696</v>
      </c>
      <c r="E216">
        <v>37291</v>
      </c>
      <c r="K216" s="106">
        <v>44523</v>
      </c>
      <c r="L216" s="98">
        <v>645.72</v>
      </c>
      <c r="M216">
        <v>444</v>
      </c>
      <c r="N216">
        <f t="shared" si="7"/>
        <v>286699.68</v>
      </c>
      <c r="O216">
        <v>28735</v>
      </c>
      <c r="Q216" s="99">
        <v>44256</v>
      </c>
      <c r="R216" s="105">
        <v>3901.82</v>
      </c>
    </row>
    <row r="217" spans="1:18" x14ac:dyDescent="0.3">
      <c r="A217" s="99">
        <v>44508</v>
      </c>
      <c r="B217">
        <v>116.519997</v>
      </c>
      <c r="C217">
        <v>1152</v>
      </c>
      <c r="D217">
        <f t="shared" si="6"/>
        <v>134231.036544</v>
      </c>
      <c r="E217">
        <v>37291</v>
      </c>
      <c r="K217" s="106">
        <v>44524</v>
      </c>
      <c r="L217" s="98">
        <v>651.45000000000005</v>
      </c>
      <c r="M217">
        <v>444</v>
      </c>
      <c r="N217">
        <f t="shared" si="7"/>
        <v>289243.80000000005</v>
      </c>
      <c r="O217">
        <v>28735</v>
      </c>
      <c r="Q217" s="99">
        <v>44253</v>
      </c>
      <c r="R217" s="105">
        <v>3811.15</v>
      </c>
    </row>
    <row r="218" spans="1:18" x14ac:dyDescent="0.3">
      <c r="A218" s="99">
        <v>44509</v>
      </c>
      <c r="B218">
        <v>114.650002</v>
      </c>
      <c r="C218">
        <v>1152</v>
      </c>
      <c r="D218">
        <f t="shared" si="6"/>
        <v>132076.80230400001</v>
      </c>
      <c r="E218">
        <v>37291</v>
      </c>
      <c r="K218" s="106">
        <v>44525</v>
      </c>
      <c r="L218" s="98">
        <v>655.99</v>
      </c>
      <c r="M218">
        <v>444</v>
      </c>
      <c r="N218">
        <f t="shared" si="7"/>
        <v>291259.56</v>
      </c>
      <c r="O218">
        <v>28735</v>
      </c>
      <c r="Q218" s="99">
        <v>44252</v>
      </c>
      <c r="R218" s="105">
        <v>3829.34</v>
      </c>
    </row>
    <row r="219" spans="1:18" x14ac:dyDescent="0.3">
      <c r="A219" s="99">
        <v>44510</v>
      </c>
      <c r="B219">
        <v>112.910004</v>
      </c>
      <c r="C219">
        <v>1152</v>
      </c>
      <c r="D219">
        <f t="shared" si="6"/>
        <v>130072.324608</v>
      </c>
      <c r="E219">
        <v>37291</v>
      </c>
      <c r="K219" s="106">
        <v>44526</v>
      </c>
      <c r="L219" s="98">
        <v>646.91</v>
      </c>
      <c r="M219">
        <v>444</v>
      </c>
      <c r="N219">
        <f t="shared" si="7"/>
        <v>287228.03999999998</v>
      </c>
      <c r="O219">
        <v>28735</v>
      </c>
      <c r="Q219" s="99">
        <v>44251</v>
      </c>
      <c r="R219" s="105">
        <v>3925.43</v>
      </c>
    </row>
    <row r="220" spans="1:18" x14ac:dyDescent="0.3">
      <c r="A220" s="99">
        <v>44511</v>
      </c>
      <c r="B220">
        <v>113.25</v>
      </c>
      <c r="C220">
        <v>1152</v>
      </c>
      <c r="D220">
        <f t="shared" si="6"/>
        <v>130464</v>
      </c>
      <c r="E220">
        <v>37291</v>
      </c>
      <c r="K220" s="106">
        <v>44527</v>
      </c>
      <c r="L220" s="98">
        <v>657.58</v>
      </c>
      <c r="M220">
        <v>444</v>
      </c>
      <c r="N220">
        <f t="shared" si="7"/>
        <v>291965.52</v>
      </c>
      <c r="O220">
        <v>28735</v>
      </c>
      <c r="Q220" s="99">
        <v>44250</v>
      </c>
      <c r="R220" s="105">
        <v>3881.37</v>
      </c>
    </row>
    <row r="221" spans="1:18" x14ac:dyDescent="0.3">
      <c r="A221" s="99">
        <v>44512</v>
      </c>
      <c r="B221">
        <v>111.739998</v>
      </c>
      <c r="C221">
        <v>1152</v>
      </c>
      <c r="D221">
        <f t="shared" si="6"/>
        <v>128724.477696</v>
      </c>
      <c r="E221">
        <v>37291</v>
      </c>
      <c r="K221" s="106">
        <v>44528</v>
      </c>
      <c r="L221" s="98">
        <v>682.61</v>
      </c>
      <c r="M221">
        <v>444</v>
      </c>
      <c r="N221">
        <f t="shared" si="7"/>
        <v>303078.84000000003</v>
      </c>
      <c r="O221">
        <v>28735</v>
      </c>
      <c r="Q221" s="99">
        <v>44249</v>
      </c>
      <c r="R221" s="105">
        <v>3876.5</v>
      </c>
    </row>
    <row r="222" spans="1:18" x14ac:dyDescent="0.3">
      <c r="A222" s="99">
        <v>44515</v>
      </c>
      <c r="B222">
        <v>112.120003</v>
      </c>
      <c r="C222">
        <v>1152</v>
      </c>
      <c r="D222">
        <f t="shared" si="6"/>
        <v>129162.243456</v>
      </c>
      <c r="E222">
        <v>37291</v>
      </c>
      <c r="K222" s="106">
        <v>44529</v>
      </c>
      <c r="L222" s="98">
        <v>679.33</v>
      </c>
      <c r="M222">
        <v>444</v>
      </c>
      <c r="N222">
        <f t="shared" si="7"/>
        <v>301622.52</v>
      </c>
      <c r="O222">
        <v>28735</v>
      </c>
      <c r="Q222" s="99">
        <v>44246</v>
      </c>
      <c r="R222" s="105">
        <v>3906.71</v>
      </c>
    </row>
    <row r="223" spans="1:18" x14ac:dyDescent="0.3">
      <c r="A223" s="99">
        <v>44516</v>
      </c>
      <c r="B223">
        <v>112.279999</v>
      </c>
      <c r="C223">
        <v>1152</v>
      </c>
      <c r="D223">
        <f t="shared" si="6"/>
        <v>129346.558848</v>
      </c>
      <c r="E223">
        <v>37291</v>
      </c>
      <c r="K223" s="106">
        <v>44530</v>
      </c>
      <c r="L223" s="98">
        <v>687.4</v>
      </c>
      <c r="M223">
        <v>444</v>
      </c>
      <c r="N223">
        <f t="shared" si="7"/>
        <v>305205.59999999998</v>
      </c>
      <c r="O223">
        <v>28735</v>
      </c>
      <c r="Q223" s="99">
        <v>44245</v>
      </c>
      <c r="R223" s="105">
        <v>3913.97</v>
      </c>
    </row>
    <row r="224" spans="1:18" x14ac:dyDescent="0.3">
      <c r="A224" s="99">
        <v>44517</v>
      </c>
      <c r="B224">
        <v>112.220001</v>
      </c>
      <c r="C224">
        <v>1152</v>
      </c>
      <c r="D224">
        <f t="shared" si="6"/>
        <v>129277.441152</v>
      </c>
      <c r="E224">
        <v>37291</v>
      </c>
      <c r="K224" s="106">
        <v>44531</v>
      </c>
      <c r="L224" s="98">
        <v>691.69</v>
      </c>
      <c r="M224">
        <v>444</v>
      </c>
      <c r="N224">
        <f t="shared" si="7"/>
        <v>307110.36000000004</v>
      </c>
      <c r="O224">
        <v>28735</v>
      </c>
      <c r="Q224" s="99">
        <v>44244</v>
      </c>
      <c r="R224" s="105">
        <v>3931.33</v>
      </c>
    </row>
    <row r="225" spans="1:18" x14ac:dyDescent="0.3">
      <c r="A225" s="99">
        <v>44518</v>
      </c>
      <c r="B225">
        <v>112.120003</v>
      </c>
      <c r="C225">
        <v>1152</v>
      </c>
      <c r="D225">
        <f t="shared" si="6"/>
        <v>129162.243456</v>
      </c>
      <c r="E225">
        <v>37291</v>
      </c>
      <c r="K225" s="106">
        <v>44532</v>
      </c>
      <c r="L225" s="98">
        <v>682.02</v>
      </c>
      <c r="M225">
        <v>444</v>
      </c>
      <c r="N225">
        <f t="shared" si="7"/>
        <v>302816.88</v>
      </c>
      <c r="O225">
        <v>28735</v>
      </c>
      <c r="Q225" s="99">
        <v>44243</v>
      </c>
      <c r="R225" s="105">
        <v>3932.59</v>
      </c>
    </row>
    <row r="226" spans="1:18" x14ac:dyDescent="0.3">
      <c r="A226" s="99">
        <v>44519</v>
      </c>
      <c r="B226">
        <v>112.730003</v>
      </c>
      <c r="C226">
        <v>1152</v>
      </c>
      <c r="D226">
        <f t="shared" si="6"/>
        <v>129864.963456</v>
      </c>
      <c r="E226">
        <v>37291</v>
      </c>
      <c r="K226" s="106">
        <v>44533</v>
      </c>
      <c r="L226" s="98">
        <v>678.8</v>
      </c>
      <c r="M226">
        <v>444</v>
      </c>
      <c r="N226">
        <f t="shared" si="7"/>
        <v>301387.19999999995</v>
      </c>
      <c r="O226">
        <v>28735</v>
      </c>
      <c r="Q226" s="99">
        <v>44239</v>
      </c>
      <c r="R226" s="105">
        <v>3934.83</v>
      </c>
    </row>
    <row r="227" spans="1:18" x14ac:dyDescent="0.3">
      <c r="A227" s="99">
        <v>44522</v>
      </c>
      <c r="B227">
        <v>111.110001</v>
      </c>
      <c r="C227">
        <v>1152</v>
      </c>
      <c r="D227">
        <f t="shared" si="6"/>
        <v>127998.721152</v>
      </c>
      <c r="E227">
        <v>37291</v>
      </c>
      <c r="K227" s="106">
        <v>44534</v>
      </c>
      <c r="L227" s="98">
        <v>659.2</v>
      </c>
      <c r="M227">
        <v>444</v>
      </c>
      <c r="N227">
        <f t="shared" si="7"/>
        <v>292684.80000000005</v>
      </c>
      <c r="O227">
        <v>28735</v>
      </c>
      <c r="Q227" s="99">
        <v>44238</v>
      </c>
      <c r="R227" s="105">
        <v>3916.38</v>
      </c>
    </row>
    <row r="228" spans="1:18" x14ac:dyDescent="0.3">
      <c r="A228" s="99">
        <v>44523</v>
      </c>
      <c r="B228">
        <v>112</v>
      </c>
      <c r="C228">
        <v>1152</v>
      </c>
      <c r="D228">
        <f t="shared" si="6"/>
        <v>129024</v>
      </c>
      <c r="E228">
        <v>37291</v>
      </c>
      <c r="K228" s="106">
        <v>44535</v>
      </c>
      <c r="L228" s="98">
        <v>654.05999999999995</v>
      </c>
      <c r="M228">
        <v>444</v>
      </c>
      <c r="N228">
        <f t="shared" si="7"/>
        <v>290402.63999999996</v>
      </c>
      <c r="O228">
        <v>28735</v>
      </c>
      <c r="Q228" s="99">
        <v>44237</v>
      </c>
      <c r="R228" s="105">
        <v>3909.88</v>
      </c>
    </row>
    <row r="229" spans="1:18" x14ac:dyDescent="0.3">
      <c r="A229" s="99">
        <v>44524</v>
      </c>
      <c r="B229">
        <v>113.410004</v>
      </c>
      <c r="C229">
        <v>1152</v>
      </c>
      <c r="D229">
        <f t="shared" si="6"/>
        <v>130648.324608</v>
      </c>
      <c r="E229">
        <v>37291</v>
      </c>
      <c r="K229" s="106">
        <v>44536</v>
      </c>
      <c r="L229" s="98">
        <v>658.29</v>
      </c>
      <c r="M229">
        <v>444</v>
      </c>
      <c r="N229">
        <f t="shared" si="7"/>
        <v>292280.76</v>
      </c>
      <c r="O229">
        <v>28735</v>
      </c>
      <c r="Q229" s="99">
        <v>44236</v>
      </c>
      <c r="R229" s="105">
        <v>3911.23</v>
      </c>
    </row>
    <row r="230" spans="1:18" x14ac:dyDescent="0.3">
      <c r="A230" s="99">
        <v>44526</v>
      </c>
      <c r="B230">
        <v>110.010002</v>
      </c>
      <c r="C230">
        <v>1152</v>
      </c>
      <c r="D230">
        <f t="shared" si="6"/>
        <v>126731.522304</v>
      </c>
      <c r="E230">
        <v>37291</v>
      </c>
      <c r="K230" s="106">
        <v>44537</v>
      </c>
      <c r="L230" s="98">
        <v>665.64</v>
      </c>
      <c r="M230">
        <v>444</v>
      </c>
      <c r="N230">
        <f t="shared" si="7"/>
        <v>295544.15999999997</v>
      </c>
      <c r="O230">
        <v>28735</v>
      </c>
      <c r="Q230" s="99">
        <v>44235</v>
      </c>
      <c r="R230" s="105">
        <v>3915.59</v>
      </c>
    </row>
    <row r="231" spans="1:18" x14ac:dyDescent="0.3">
      <c r="A231" s="99">
        <v>44529</v>
      </c>
      <c r="B231">
        <v>111.360001</v>
      </c>
      <c r="C231">
        <v>1152</v>
      </c>
      <c r="D231">
        <f t="shared" si="6"/>
        <v>128286.721152</v>
      </c>
      <c r="E231">
        <v>37291</v>
      </c>
      <c r="K231" s="106">
        <v>44538</v>
      </c>
      <c r="L231" s="98">
        <v>663.84</v>
      </c>
      <c r="M231">
        <v>444</v>
      </c>
      <c r="N231">
        <f t="shared" si="7"/>
        <v>294744.96000000002</v>
      </c>
      <c r="O231">
        <v>28735</v>
      </c>
      <c r="Q231" s="99">
        <v>44232</v>
      </c>
      <c r="R231" s="105">
        <v>3886.83</v>
      </c>
    </row>
    <row r="232" spans="1:18" x14ac:dyDescent="0.3">
      <c r="A232" s="99">
        <v>44530</v>
      </c>
      <c r="B232">
        <v>109.550003</v>
      </c>
      <c r="C232">
        <v>1152</v>
      </c>
      <c r="D232">
        <f t="shared" si="6"/>
        <v>126201.60345600001</v>
      </c>
      <c r="E232">
        <v>37291</v>
      </c>
      <c r="K232" s="106">
        <v>44539</v>
      </c>
      <c r="L232" s="98">
        <v>641.9</v>
      </c>
      <c r="M232">
        <v>444</v>
      </c>
      <c r="N232">
        <f t="shared" si="7"/>
        <v>285003.59999999998</v>
      </c>
      <c r="O232">
        <v>28735</v>
      </c>
      <c r="Q232" s="99">
        <v>44231</v>
      </c>
      <c r="R232" s="105">
        <v>3871.74</v>
      </c>
    </row>
    <row r="233" spans="1:18" x14ac:dyDescent="0.3">
      <c r="A233" s="99">
        <v>44531</v>
      </c>
      <c r="B233">
        <v>110.959999</v>
      </c>
      <c r="C233">
        <v>1152</v>
      </c>
      <c r="D233">
        <f t="shared" si="6"/>
        <v>127825.918848</v>
      </c>
      <c r="E233">
        <v>37291</v>
      </c>
      <c r="K233" s="106">
        <v>44540</v>
      </c>
      <c r="L233" s="98">
        <v>617.77</v>
      </c>
      <c r="M233">
        <v>444</v>
      </c>
      <c r="N233">
        <f t="shared" si="7"/>
        <v>274289.88</v>
      </c>
      <c r="O233">
        <v>28735</v>
      </c>
      <c r="Q233" s="99">
        <v>44230</v>
      </c>
      <c r="R233" s="105">
        <v>3830.17</v>
      </c>
    </row>
    <row r="234" spans="1:18" x14ac:dyDescent="0.3">
      <c r="A234" s="99">
        <v>44532</v>
      </c>
      <c r="B234">
        <v>109.16999800000001</v>
      </c>
      <c r="C234">
        <v>1152</v>
      </c>
      <c r="D234">
        <f t="shared" si="6"/>
        <v>125763.837696</v>
      </c>
      <c r="E234">
        <v>37291</v>
      </c>
      <c r="K234" s="106">
        <v>44541</v>
      </c>
      <c r="L234" s="98">
        <v>616.47</v>
      </c>
      <c r="M234">
        <v>444</v>
      </c>
      <c r="N234">
        <f t="shared" si="7"/>
        <v>273712.68</v>
      </c>
      <c r="O234">
        <v>28735</v>
      </c>
      <c r="Q234" s="99">
        <v>44229</v>
      </c>
      <c r="R234" s="105">
        <v>3826.31</v>
      </c>
    </row>
    <row r="235" spans="1:18" x14ac:dyDescent="0.3">
      <c r="A235" s="99">
        <v>44533</v>
      </c>
      <c r="B235">
        <v>111.849998</v>
      </c>
      <c r="C235">
        <v>1152</v>
      </c>
      <c r="D235">
        <f t="shared" si="6"/>
        <v>128851.197696</v>
      </c>
      <c r="E235">
        <v>37291</v>
      </c>
      <c r="K235" s="106">
        <v>44542</v>
      </c>
      <c r="L235" s="98">
        <v>602.13</v>
      </c>
      <c r="M235">
        <v>444</v>
      </c>
      <c r="N235">
        <f t="shared" si="7"/>
        <v>267345.71999999997</v>
      </c>
      <c r="O235">
        <v>28735</v>
      </c>
      <c r="Q235" s="99">
        <v>44228</v>
      </c>
      <c r="R235" s="105">
        <v>3773.86</v>
      </c>
    </row>
    <row r="236" spans="1:18" x14ac:dyDescent="0.3">
      <c r="A236" s="99">
        <v>44536</v>
      </c>
      <c r="B236">
        <v>112.010002</v>
      </c>
      <c r="C236">
        <v>1152</v>
      </c>
      <c r="D236">
        <f t="shared" si="6"/>
        <v>129035.522304</v>
      </c>
      <c r="E236">
        <v>37291</v>
      </c>
      <c r="K236" s="106">
        <v>44543</v>
      </c>
      <c r="L236" s="98">
        <v>612.69000000000005</v>
      </c>
      <c r="M236">
        <v>444</v>
      </c>
      <c r="N236">
        <f t="shared" si="7"/>
        <v>272034.36000000004</v>
      </c>
      <c r="O236">
        <v>28735</v>
      </c>
      <c r="Q236" s="99">
        <v>44225</v>
      </c>
      <c r="R236" s="105">
        <v>3714.24</v>
      </c>
    </row>
    <row r="237" spans="1:18" x14ac:dyDescent="0.3">
      <c r="A237" s="99">
        <v>44537</v>
      </c>
      <c r="B237">
        <v>115.05999799999999</v>
      </c>
      <c r="C237">
        <v>1152</v>
      </c>
      <c r="D237">
        <f t="shared" si="6"/>
        <v>132549.117696</v>
      </c>
      <c r="E237">
        <v>37291</v>
      </c>
      <c r="K237" s="106">
        <v>44544</v>
      </c>
      <c r="L237" s="98">
        <v>625.58000000000004</v>
      </c>
      <c r="M237">
        <v>444</v>
      </c>
      <c r="N237">
        <f t="shared" si="7"/>
        <v>277757.52</v>
      </c>
      <c r="O237">
        <v>28735</v>
      </c>
      <c r="Q237" s="99">
        <v>44224</v>
      </c>
      <c r="R237" s="105">
        <v>3787.38</v>
      </c>
    </row>
    <row r="238" spans="1:18" x14ac:dyDescent="0.3">
      <c r="A238" s="99">
        <v>44538</v>
      </c>
      <c r="B238">
        <v>115.779999</v>
      </c>
      <c r="C238">
        <v>1152</v>
      </c>
      <c r="D238">
        <f t="shared" si="6"/>
        <v>133378.55884800002</v>
      </c>
      <c r="E238">
        <v>37291</v>
      </c>
      <c r="K238" s="106">
        <v>44545</v>
      </c>
      <c r="L238" s="98">
        <v>628.08000000000004</v>
      </c>
      <c r="M238">
        <v>444</v>
      </c>
      <c r="N238">
        <f t="shared" si="7"/>
        <v>278867.52</v>
      </c>
      <c r="O238">
        <v>28735</v>
      </c>
      <c r="Q238" s="99">
        <v>44223</v>
      </c>
      <c r="R238" s="105">
        <v>3750.77</v>
      </c>
    </row>
    <row r="239" spans="1:18" x14ac:dyDescent="0.3">
      <c r="A239" s="99">
        <v>44539</v>
      </c>
      <c r="B239">
        <v>115.800003</v>
      </c>
      <c r="C239">
        <v>1152</v>
      </c>
      <c r="D239">
        <f t="shared" si="6"/>
        <v>133401.60345600001</v>
      </c>
      <c r="E239">
        <v>37291</v>
      </c>
      <c r="K239" s="106">
        <v>44546</v>
      </c>
      <c r="L239" s="98">
        <v>611</v>
      </c>
      <c r="M239">
        <v>444</v>
      </c>
      <c r="N239">
        <f t="shared" si="7"/>
        <v>271284</v>
      </c>
      <c r="O239">
        <v>28735</v>
      </c>
      <c r="Q239" s="99">
        <v>44222</v>
      </c>
      <c r="R239" s="105">
        <v>3849.62</v>
      </c>
    </row>
    <row r="240" spans="1:18" x14ac:dyDescent="0.3">
      <c r="A240" s="99">
        <v>44540</v>
      </c>
      <c r="B240">
        <v>115.82</v>
      </c>
      <c r="C240">
        <v>1152</v>
      </c>
      <c r="D240">
        <f t="shared" si="6"/>
        <v>133424.63999999998</v>
      </c>
      <c r="E240">
        <v>37291</v>
      </c>
      <c r="K240" s="106">
        <v>44547</v>
      </c>
      <c r="L240" s="98">
        <v>611.66</v>
      </c>
      <c r="M240">
        <v>444</v>
      </c>
      <c r="N240">
        <f t="shared" si="7"/>
        <v>271577.03999999998</v>
      </c>
      <c r="O240">
        <v>28735</v>
      </c>
      <c r="Q240" s="99">
        <v>44221</v>
      </c>
      <c r="R240" s="105">
        <v>3855.36</v>
      </c>
    </row>
    <row r="241" spans="1:18" x14ac:dyDescent="0.3">
      <c r="A241" s="99">
        <v>44543</v>
      </c>
      <c r="B241">
        <v>116.160004</v>
      </c>
      <c r="C241">
        <v>1152</v>
      </c>
      <c r="D241">
        <f t="shared" si="6"/>
        <v>133816.324608</v>
      </c>
      <c r="E241">
        <v>37291</v>
      </c>
      <c r="K241" s="106">
        <v>44548</v>
      </c>
      <c r="L241" s="98">
        <v>604.55999999999995</v>
      </c>
      <c r="M241">
        <v>444</v>
      </c>
      <c r="N241">
        <f t="shared" si="7"/>
        <v>268424.63999999996</v>
      </c>
      <c r="O241">
        <v>28735</v>
      </c>
      <c r="Q241" s="99">
        <v>44218</v>
      </c>
      <c r="R241" s="105">
        <v>3841.47</v>
      </c>
    </row>
    <row r="242" spans="1:18" x14ac:dyDescent="0.3">
      <c r="A242" s="99">
        <v>44544</v>
      </c>
      <c r="B242">
        <v>114.57</v>
      </c>
      <c r="C242">
        <v>1152</v>
      </c>
      <c r="D242">
        <f t="shared" si="6"/>
        <v>131984.63999999998</v>
      </c>
      <c r="E242">
        <v>37291</v>
      </c>
      <c r="K242" s="106">
        <v>44549</v>
      </c>
      <c r="L242" s="98">
        <v>597.99</v>
      </c>
      <c r="M242">
        <v>444</v>
      </c>
      <c r="N242">
        <f t="shared" si="7"/>
        <v>265507.56</v>
      </c>
      <c r="O242">
        <v>28735</v>
      </c>
      <c r="Q242" s="99">
        <v>44217</v>
      </c>
      <c r="R242" s="105">
        <v>3853.07</v>
      </c>
    </row>
    <row r="243" spans="1:18" x14ac:dyDescent="0.3">
      <c r="A243" s="99">
        <v>44545</v>
      </c>
      <c r="B243">
        <v>114.80999799999999</v>
      </c>
      <c r="C243">
        <v>1152</v>
      </c>
      <c r="D243">
        <f t="shared" si="6"/>
        <v>132261.117696</v>
      </c>
      <c r="E243">
        <v>37291</v>
      </c>
      <c r="K243" s="106">
        <v>44550</v>
      </c>
      <c r="L243" s="98">
        <v>605.04</v>
      </c>
      <c r="M243">
        <v>444</v>
      </c>
      <c r="N243">
        <f t="shared" si="7"/>
        <v>268637.76</v>
      </c>
      <c r="O243">
        <v>28735</v>
      </c>
      <c r="Q243" s="99">
        <v>44216</v>
      </c>
      <c r="R243" s="105">
        <v>3851.85</v>
      </c>
    </row>
    <row r="244" spans="1:18" x14ac:dyDescent="0.3">
      <c r="A244" s="99">
        <v>44546</v>
      </c>
      <c r="B244">
        <v>115</v>
      </c>
      <c r="C244">
        <v>1152</v>
      </c>
      <c r="D244">
        <f t="shared" si="6"/>
        <v>132480</v>
      </c>
      <c r="E244">
        <v>37291</v>
      </c>
      <c r="K244" s="106">
        <v>44551</v>
      </c>
      <c r="L244" s="98">
        <v>591.05999999999995</v>
      </c>
      <c r="M244">
        <v>444</v>
      </c>
      <c r="N244">
        <f t="shared" si="7"/>
        <v>262430.63999999996</v>
      </c>
      <c r="O244">
        <v>28735</v>
      </c>
      <c r="Q244" s="99">
        <v>44215</v>
      </c>
      <c r="R244" s="105">
        <v>3798.91</v>
      </c>
    </row>
    <row r="245" spans="1:18" x14ac:dyDescent="0.3">
      <c r="A245" s="99">
        <v>44547</v>
      </c>
      <c r="B245">
        <v>111.269997</v>
      </c>
      <c r="C245">
        <v>1152</v>
      </c>
      <c r="D245">
        <f t="shared" si="6"/>
        <v>128183.036544</v>
      </c>
      <c r="E245">
        <v>37291</v>
      </c>
      <c r="K245" s="106">
        <v>44552</v>
      </c>
      <c r="L245" s="98">
        <v>586.73</v>
      </c>
      <c r="M245">
        <v>444</v>
      </c>
      <c r="N245">
        <f t="shared" si="7"/>
        <v>260508.12</v>
      </c>
      <c r="O245">
        <v>28735</v>
      </c>
      <c r="Q245" s="99">
        <v>44211</v>
      </c>
      <c r="R245" s="105">
        <v>3768.25</v>
      </c>
    </row>
    <row r="246" spans="1:18" x14ac:dyDescent="0.3">
      <c r="A246" s="99">
        <v>44550</v>
      </c>
      <c r="B246">
        <v>107.07</v>
      </c>
      <c r="C246">
        <v>1152</v>
      </c>
      <c r="D246">
        <f t="shared" si="6"/>
        <v>123344.63999999998</v>
      </c>
      <c r="E246">
        <v>37291</v>
      </c>
      <c r="K246" s="106">
        <v>44553</v>
      </c>
      <c r="L246" s="98">
        <v>593.74</v>
      </c>
      <c r="M246">
        <v>444</v>
      </c>
      <c r="N246">
        <f t="shared" si="7"/>
        <v>263620.56</v>
      </c>
      <c r="O246">
        <v>28735</v>
      </c>
      <c r="Q246" s="99">
        <v>44210</v>
      </c>
      <c r="R246" s="105">
        <v>3795.54</v>
      </c>
    </row>
    <row r="247" spans="1:18" x14ac:dyDescent="0.3">
      <c r="A247" s="99">
        <v>44551</v>
      </c>
      <c r="B247">
        <v>109</v>
      </c>
      <c r="C247">
        <v>1152</v>
      </c>
      <c r="D247">
        <f t="shared" si="6"/>
        <v>125568</v>
      </c>
      <c r="E247">
        <v>37291</v>
      </c>
      <c r="K247" s="106">
        <v>44554</v>
      </c>
      <c r="L247" s="98">
        <v>604.91999999999996</v>
      </c>
      <c r="M247">
        <v>444</v>
      </c>
      <c r="N247">
        <f t="shared" si="7"/>
        <v>268584.48</v>
      </c>
      <c r="O247">
        <v>28735</v>
      </c>
      <c r="Q247" s="99">
        <v>44209</v>
      </c>
      <c r="R247" s="105">
        <v>3809.84</v>
      </c>
    </row>
    <row r="248" spans="1:18" x14ac:dyDescent="0.3">
      <c r="A248" s="99">
        <v>44552</v>
      </c>
      <c r="B248">
        <v>110.199997</v>
      </c>
      <c r="C248">
        <v>1152</v>
      </c>
      <c r="D248">
        <f t="shared" si="6"/>
        <v>126950.39654399999</v>
      </c>
      <c r="E248">
        <v>37291</v>
      </c>
      <c r="K248" s="106">
        <v>44555</v>
      </c>
      <c r="L248" s="98">
        <v>614.24</v>
      </c>
      <c r="M248">
        <v>444</v>
      </c>
      <c r="N248">
        <f t="shared" si="7"/>
        <v>272722.56</v>
      </c>
      <c r="O248">
        <v>28735</v>
      </c>
      <c r="Q248" s="99">
        <v>44208</v>
      </c>
      <c r="R248" s="105">
        <v>3801.19</v>
      </c>
    </row>
    <row r="249" spans="1:18" x14ac:dyDescent="0.3">
      <c r="A249" s="99">
        <v>44553</v>
      </c>
      <c r="B249">
        <v>112.230003</v>
      </c>
      <c r="C249">
        <v>1152</v>
      </c>
      <c r="D249">
        <f t="shared" si="6"/>
        <v>129288.963456</v>
      </c>
      <c r="E249">
        <v>37291</v>
      </c>
      <c r="K249" s="106">
        <v>44556</v>
      </c>
      <c r="L249" s="98">
        <v>614.09</v>
      </c>
      <c r="M249">
        <v>444</v>
      </c>
      <c r="N249">
        <f t="shared" si="7"/>
        <v>272655.96000000002</v>
      </c>
      <c r="O249">
        <v>28735</v>
      </c>
      <c r="Q249" s="99">
        <v>44207</v>
      </c>
      <c r="R249" s="105">
        <v>3799.61</v>
      </c>
    </row>
    <row r="250" spans="1:18" x14ac:dyDescent="0.3">
      <c r="A250" s="99">
        <v>44557</v>
      </c>
      <c r="B250">
        <v>112.599998</v>
      </c>
      <c r="C250">
        <v>1152</v>
      </c>
      <c r="D250">
        <f t="shared" si="6"/>
        <v>129715.197696</v>
      </c>
      <c r="E250">
        <v>37291</v>
      </c>
      <c r="K250" s="106">
        <v>44557</v>
      </c>
      <c r="L250" s="98">
        <v>613.12</v>
      </c>
      <c r="M250">
        <v>444</v>
      </c>
      <c r="N250">
        <f t="shared" si="7"/>
        <v>272225.28000000003</v>
      </c>
      <c r="O250">
        <v>28735</v>
      </c>
      <c r="Q250" s="99">
        <v>44204</v>
      </c>
      <c r="R250" s="105">
        <v>3824.68</v>
      </c>
    </row>
    <row r="251" spans="1:18" x14ac:dyDescent="0.3">
      <c r="A251" s="99">
        <v>44558</v>
      </c>
      <c r="B251">
        <v>114</v>
      </c>
      <c r="C251">
        <v>1152</v>
      </c>
      <c r="D251">
        <f t="shared" si="6"/>
        <v>131328</v>
      </c>
      <c r="E251">
        <v>37291</v>
      </c>
      <c r="K251" s="106">
        <v>44558</v>
      </c>
      <c r="L251" s="98">
        <v>610.71</v>
      </c>
      <c r="M251">
        <v>444</v>
      </c>
      <c r="N251">
        <f t="shared" si="7"/>
        <v>271155.24</v>
      </c>
      <c r="O251">
        <v>28735</v>
      </c>
      <c r="Q251" s="99">
        <v>44203</v>
      </c>
      <c r="R251" s="105">
        <v>3803.79</v>
      </c>
    </row>
    <row r="252" spans="1:18" x14ac:dyDescent="0.3">
      <c r="A252" s="99">
        <v>44559</v>
      </c>
      <c r="B252">
        <v>115.400002</v>
      </c>
      <c r="C252">
        <v>1152</v>
      </c>
      <c r="D252">
        <f t="shared" si="6"/>
        <v>132940.80230400001</v>
      </c>
      <c r="E252">
        <v>37291</v>
      </c>
      <c r="K252" s="106">
        <v>44559</v>
      </c>
      <c r="L252" s="98">
        <v>610.54</v>
      </c>
      <c r="M252">
        <v>444</v>
      </c>
      <c r="N252">
        <f t="shared" si="7"/>
        <v>271079.76</v>
      </c>
      <c r="O252">
        <v>28735</v>
      </c>
      <c r="Q252" s="99">
        <v>44202</v>
      </c>
      <c r="R252" s="105">
        <v>3748.14</v>
      </c>
    </row>
    <row r="253" spans="1:18" x14ac:dyDescent="0.3">
      <c r="A253" s="99">
        <v>44560</v>
      </c>
      <c r="B253">
        <v>116.379997</v>
      </c>
      <c r="C253">
        <v>1152</v>
      </c>
      <c r="D253">
        <f t="shared" si="6"/>
        <v>134069.756544</v>
      </c>
      <c r="E253">
        <v>37291</v>
      </c>
      <c r="K253" s="106">
        <v>44560</v>
      </c>
      <c r="L253" s="98">
        <v>612.09</v>
      </c>
      <c r="M253">
        <v>444</v>
      </c>
      <c r="N253">
        <f t="shared" si="7"/>
        <v>271767.96000000002</v>
      </c>
      <c r="O253">
        <v>28735</v>
      </c>
      <c r="Q253" s="99">
        <v>44201</v>
      </c>
      <c r="R253" s="105">
        <v>3726.86</v>
      </c>
    </row>
    <row r="254" spans="1:18" x14ac:dyDescent="0.3">
      <c r="K254" s="106">
        <v>44561</v>
      </c>
      <c r="L254" s="98">
        <v>602.44000000000005</v>
      </c>
      <c r="M254">
        <v>444</v>
      </c>
      <c r="N254">
        <f t="shared" si="7"/>
        <v>267483.36000000004</v>
      </c>
      <c r="O254">
        <v>28735</v>
      </c>
      <c r="Q254" s="99">
        <v>44200</v>
      </c>
      <c r="R254" s="105">
        <v>3700.65</v>
      </c>
    </row>
  </sheetData>
  <mergeCells count="1">
    <mergeCell ref="Q1:R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0BC5EE39FFC488E67F1AA81742209" ma:contentTypeVersion="8" ma:contentTypeDescription="Create a new document." ma:contentTypeScope="" ma:versionID="1a6f81e669da1eac63f288d895e7fcb9">
  <xsd:schema xmlns:xsd="http://www.w3.org/2001/XMLSchema" xmlns:xs="http://www.w3.org/2001/XMLSchema" xmlns:p="http://schemas.microsoft.com/office/2006/metadata/properties" xmlns:ns3="c25614a5-ceea-4339-a22b-b071769ac43f" xmlns:ns4="247a8e0d-d6fa-48f2-b643-53365640328f" targetNamespace="http://schemas.microsoft.com/office/2006/metadata/properties" ma:root="true" ma:fieldsID="e9e4c5b271699dc2ca7b262f5e419615" ns3:_="" ns4:_="">
    <xsd:import namespace="c25614a5-ceea-4339-a22b-b071769ac43f"/>
    <xsd:import namespace="247a8e0d-d6fa-48f2-b643-5336564032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5614a5-ceea-4339-a22b-b071769ac4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7a8e0d-d6fa-48f2-b643-533656403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23E7AF-5C36-434A-89D1-4290E1625F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5614a5-ceea-4339-a22b-b071769ac43f"/>
    <ds:schemaRef ds:uri="247a8e0d-d6fa-48f2-b643-533656403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9D8896-0BCC-4E91-A8DA-4E3A76A1A4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8A2EC85-AA54-4A38-90D0-B5C617926EE0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47a8e0d-d6fa-48f2-b643-53365640328f"/>
    <ds:schemaRef ds:uri="http://purl.org/dc/elements/1.1/"/>
    <ds:schemaRef ds:uri="http://schemas.microsoft.com/office/2006/metadata/properties"/>
    <ds:schemaRef ds:uri="c25614a5-ceea-4339-a22b-b071769ac43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Cover</vt:lpstr>
      <vt:lpstr> Data</vt:lpstr>
      <vt:lpstr>Analysis</vt:lpstr>
      <vt:lpstr>Sheet1</vt:lpstr>
      <vt:lpstr>Sheet1!S_P_500_Historical_Data</vt:lpstr>
    </vt:vector>
  </TitlesOfParts>
  <Company>Pryfysgol Bangor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Jones</dc:creator>
  <cp:lastModifiedBy>gelareh kabiri</cp:lastModifiedBy>
  <dcterms:created xsi:type="dcterms:W3CDTF">2017-09-08T07:26:33Z</dcterms:created>
  <dcterms:modified xsi:type="dcterms:W3CDTF">2024-04-19T04:05:08Z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{1FA846EA-8D77-4D1E-BEF6-B0D8FB6A69CF}</vt:lpwstr>
  </property>
  <property fmtid="{D5CDD505-2E9C-101B-9397-08002B2CF9AE}" pid="3" name="ContentTypeId">
    <vt:lpwstr>0x0101001EA0BC5EE39FFC488E67F1AA81742209</vt:lpwstr>
  </property>
</Properties>
</file>